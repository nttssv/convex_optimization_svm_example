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aw_10" sheetId="2" state="visible" r:id="rId2"/>
    <sheet xmlns:r="http://schemas.openxmlformats.org/officeDocument/2006/relationships" name="Transform_10" sheetId="3" state="visible" r:id="rId3"/>
    <sheet xmlns:r="http://schemas.openxmlformats.org/officeDocument/2006/relationships" name="X_Standardized" sheetId="4" state="visible" r:id="rId4"/>
    <sheet xmlns:r="http://schemas.openxmlformats.org/officeDocument/2006/relationships" name="Theta_Derivatives" sheetId="5" state="visible" r:id="rId5"/>
    <sheet xmlns:r="http://schemas.openxmlformats.org/officeDocument/2006/relationships" name="U_Margin_Check" sheetId="6" state="visible" r:id="rId6"/>
    <sheet xmlns:r="http://schemas.openxmlformats.org/officeDocument/2006/relationships" name="Visualize" sheetId="7" state="visible" r:id="rId7"/>
    <sheet xmlns:r="http://schemas.openxmlformats.org/officeDocument/2006/relationships" name="Full_Data_Gate" sheetId="8" state="visible" r:id="rId8"/>
  </sheets>
  <definedNames>
    <definedName name="_xlnm._FilterDatabase" localSheetId="1" hidden="1">'Raw_10'!$A$4:$O$14</definedName>
    <definedName name="_xlnm._FilterDatabase" localSheetId="5" hidden="1">'U_Margin_Check'!$A$5:$X$15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00000"/>
    <numFmt numFmtId="167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9C0006"/>
      <sz val="11"/>
    </font>
    <font>
      <name val="Arial"/>
      <b val="1"/>
      <color rgb="0017365D"/>
      <sz val="11"/>
    </font>
    <font>
      <name val="Arial"/>
      <b val="1"/>
      <color rgb="0017365D"/>
    </font>
    <font>
      <name val="Arial"/>
      <sz val="11"/>
    </font>
    <font>
      <name val="Arial"/>
      <b val="1"/>
      <color rgb="009C0006"/>
    </font>
    <font>
      <name val="Arial"/>
      <b val="1"/>
      <color rgb="00FFFFFF"/>
      <sz val="10"/>
    </font>
    <font>
      <name val="Arial"/>
      <color rgb="001F1F1F"/>
      <sz val="10"/>
    </font>
    <font>
      <name val="Arial"/>
      <i val="1"/>
      <color rgb="00666666"/>
    </font>
    <font>
      <name val="Arial"/>
      <b val="1"/>
      <color rgb="001F1F1F"/>
    </font>
    <font>
      <name val="Arial"/>
      <color rgb="001F1F1F"/>
    </font>
    <font>
      <name val="Arial"/>
      <color rgb="000000FF"/>
    </font>
    <font>
      <name val="Arial"/>
      <b val="1"/>
      <color rgb="00FFFFFF"/>
    </font>
    <font>
      <name val="Arial"/>
      <color theme="1"/>
      <sz val="11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EAF3F8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wrapText="1"/>
    </xf>
    <xf numFmtId="0" fontId="7" fillId="6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/>
    </xf>
    <xf numFmtId="0" fontId="8" fillId="7" borderId="2" applyAlignment="1" pivotButton="0" quotePrefix="0" xfId="0">
      <alignment vertical="center"/>
    </xf>
    <xf numFmtId="0" fontId="8" fillId="7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wrapText="1"/>
    </xf>
    <xf numFmtId="0" fontId="8" fillId="3" borderId="2" applyAlignment="1" pivotButton="0" quotePrefix="0" xfId="0">
      <alignment vertical="center"/>
    </xf>
    <xf numFmtId="164" fontId="8" fillId="0" borderId="2" applyAlignment="1" pivotButton="0" quotePrefix="0" xfId="0">
      <alignment vertical="center"/>
    </xf>
    <xf numFmtId="164" fontId="8" fillId="7" borderId="2" applyAlignment="1" pivotButton="0" quotePrefix="0" xfId="0">
      <alignment vertical="center"/>
    </xf>
    <xf numFmtId="165" fontId="8" fillId="0" borderId="2" applyAlignment="1" pivotButton="0" quotePrefix="0" xfId="0">
      <alignment vertical="center"/>
    </xf>
    <xf numFmtId="165" fontId="8" fillId="7" borderId="2" applyAlignment="1" pivotButton="0" quotePrefix="0" xfId="0">
      <alignment vertical="center"/>
    </xf>
    <xf numFmtId="0" fontId="10" fillId="8" borderId="2" pivotButton="0" quotePrefix="0" xfId="0"/>
    <xf numFmtId="0" fontId="11" fillId="8" borderId="2" pivotButton="0" quotePrefix="0" xfId="0"/>
    <xf numFmtId="166" fontId="11" fillId="8" borderId="2" pivotButton="0" quotePrefix="0" xfId="0"/>
    <xf numFmtId="0" fontId="9" fillId="0" borderId="0" pivotButton="0" quotePrefix="0" xfId="0"/>
    <xf numFmtId="166" fontId="8" fillId="0" borderId="2" applyAlignment="1" pivotButton="0" quotePrefix="0" xfId="0">
      <alignment vertical="center"/>
    </xf>
    <xf numFmtId="166" fontId="8" fillId="7" borderId="2" applyAlignment="1" pivotButton="0" quotePrefix="0" xfId="0">
      <alignment vertical="center"/>
    </xf>
    <xf numFmtId="166" fontId="12" fillId="0" borderId="2" applyAlignment="1" pivotButton="0" quotePrefix="0" xfId="0">
      <alignment vertical="center"/>
    </xf>
    <xf numFmtId="166" fontId="12" fillId="7" borderId="2" applyAlignment="1" pivotButton="0" quotePrefix="0" xfId="0">
      <alignment vertical="center"/>
    </xf>
    <xf numFmtId="0" fontId="4" fillId="0" borderId="2" pivotButton="0" quotePrefix="0" xfId="0"/>
    <xf numFmtId="166" fontId="14" fillId="0" borderId="2" pivotButton="0" quotePrefix="0" xfId="0"/>
    <xf numFmtId="0" fontId="9" fillId="0" borderId="2" pivotButton="0" quotePrefix="0" xfId="0"/>
    <xf numFmtId="0" fontId="4" fillId="4" borderId="0" pivotButton="0" quotePrefix="0" xfId="0"/>
    <xf numFmtId="0" fontId="14" fillId="9" borderId="3" applyAlignment="1" pivotButton="0" quotePrefix="0" xfId="0">
      <alignment horizontal="center"/>
    </xf>
    <xf numFmtId="0" fontId="14" fillId="7" borderId="3" applyAlignment="1" pivotButton="0" quotePrefix="0" xfId="0">
      <alignment horizontal="center"/>
    </xf>
    <xf numFmtId="0" fontId="6" fillId="3" borderId="0" applyAlignment="1" pivotButton="0" quotePrefix="0" xfId="0">
      <alignment wrapText="1"/>
    </xf>
    <xf numFmtId="166" fontId="8" fillId="4" borderId="2" applyAlignment="1" pivotButton="0" quotePrefix="0" xfId="0">
      <alignment vertical="center"/>
    </xf>
    <xf numFmtId="0" fontId="8" fillId="9" borderId="2" applyAlignment="1" pivotButton="0" quotePrefix="0" xfId="0">
      <alignment vertical="center"/>
    </xf>
    <xf numFmtId="0" fontId="14" fillId="0" borderId="2" pivotButton="0" quotePrefix="0" xfId="0"/>
    <xf numFmtId="167" fontId="14" fillId="0" borderId="2" pivotButton="0" quotePrefix="0" xfId="0"/>
    <xf numFmtId="0" fontId="13" fillId="6" borderId="0" pivotButton="0" quotePrefix="0" xfId="0"/>
    <xf numFmtId="0" fontId="14" fillId="0" borderId="0" pivotButton="0" quotePrefix="0" xfId="0"/>
    <xf numFmtId="0" fontId="4" fillId="4" borderId="0" applyAlignment="1" pivotButton="0" quotePrefix="0" xfId="0">
      <alignment wrapText="1"/>
    </xf>
    <xf numFmtId="0" fontId="6" fillId="5" borderId="2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Illustrative hard-margin scores (10-row teaching subset)</a:t>
            </a:r>
          </a:p>
        </rich>
      </tx>
    </title>
    <plotArea>
      <scatterChart>
        <ser>
          <idx val="0"/>
          <order val="0"/>
          <tx>
            <v>UPA (t=+1)</v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'Visualize'!$J$6:$J$10</f>
            </numRef>
          </xVal>
          <yVal>
            <numRef>
              <f>'Visualize'!$I$6:$I$10</f>
            </numRef>
          </yVal>
        </ser>
        <ser>
          <idx val="1"/>
          <order val="1"/>
          <tx>
            <v>BPA (t=-1)</v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noFill/>
              <a:prstDash val="solid"/>
            </a:ln>
          </spPr>
          <marker>
            <symbol val="diamond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'Visualize'!$M$6:$M$10</f>
            </numRef>
          </xVal>
          <yVal>
            <numRef>
              <f>'Visualize'!$L$6:$L$10</f>
            </numRef>
          </yVal>
        </ser>
        <ser>
          <idx val="2"/>
          <order val="2"/>
          <tx>
            <v>Margin -1</v>
          </tx>
          <spPr>
            <a:ln xmlns:a="http://schemas.openxmlformats.org/drawingml/2006/main" w="13000">
              <a:solidFill>
                <a:srgbClr val="80808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'Visualize'!$P$6:$P$7</f>
            </numRef>
          </xVal>
          <yVal>
            <numRef>
              <f>'Visualize'!$O$6:$O$7</f>
            </numRef>
          </yVal>
        </ser>
        <ser>
          <idx val="3"/>
          <order val="3"/>
          <tx>
            <v>Boundary 0</v>
          </tx>
          <spPr>
            <a:ln xmlns:a="http://schemas.openxmlformats.org/drawingml/2006/main" w="22000">
              <a:solidFill>
                <a:srgbClr val="1F1F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'Visualize'!$R$6:$R$7</f>
            </numRef>
          </xVal>
          <yVal>
            <numRef>
              <f>'Visualize'!$Q$6:$Q$7</f>
            </numRef>
          </yVal>
        </ser>
        <ser>
          <idx val="4"/>
          <order val="4"/>
          <tx>
            <v>Margin +1</v>
          </tx>
          <spPr>
            <a:ln xmlns:a="http://schemas.openxmlformats.org/drawingml/2006/main" w="13000">
              <a:solidFill>
                <a:srgbClr val="80808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'Visualize'!$T$6:$T$7</f>
            </numRef>
          </xVal>
          <yVal>
            <numRef>
              <f>'Visualize'!$S$6:$S$7</f>
            </numRef>
          </yVal>
        </ser>
        <axId val="10"/>
        <axId val="20"/>
      </scatterChart>
      <valAx>
        <axId val="10"/>
        <scaling>
          <orientation val="minMax"/>
          <max val="3.5"/>
          <min val="-3.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Decision score s_i = w^T x_i + b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.5"/>
          <min val="0.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Observation i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Signed margin u_i^T theta compared with target 1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'Visualize'!F5</f>
            </strRef>
          </tx>
          <spPr>
            <a:ln xmlns:a="http://schemas.openxmlformats.org/drawingml/2006/main">
              <a:solidFill>
                <a:srgbClr val="5B9BD5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'Visualize'!$B$6:$B$15</f>
            </numRef>
          </cat>
          <val>
            <numRef>
              <f>'Visualize'!$F$6:$F$15</f>
            </numRef>
          </val>
        </ser>
        <ser>
          <idx val="1"/>
          <order val="1"/>
          <tx>
            <strRef>
              <f>'Visualize'!G5</f>
            </strRef>
          </tx>
          <spPr>
            <a:ln xmlns:a="http://schemas.openxmlformats.org/drawingml/2006/main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'Visualize'!$B$6:$B$15</f>
            </numRef>
          </cat>
          <val>
            <numRef>
              <f>'Visualize'!$G$6:$G$15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Patient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.5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functional margin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D4" authorId="0" shapeId="0">
      <text>
        <t>Diagnosis label: UPA or BPA.</t>
      </text>
    </comment>
    <comment ref="E4" authorId="0" shapeId="0">
      <text>
        <t>UPA = +1 and BPA = -1 for the SVM constraint.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5" authorId="0" shapeId="0">
      <text>
        <t>Hard-margin constrained-QP solver output. Re-optimize if the raw inputs change.</t>
      </text>
    </comment>
    <comment ref="D6" authorId="0" shapeId="0">
      <text>
        <t>Hard-margin constrained-QP solver output. Re-optimize if the raw inputs change.</t>
      </text>
    </comment>
    <comment ref="D7" authorId="0" shapeId="0">
      <text>
        <t>Hard-margin constrained-QP solver output. Re-optimize if the raw inputs change.</t>
      </text>
    </comment>
    <comment ref="D8" authorId="0" shapeId="0">
      <text>
        <t>Hard-margin constrained-QP solver output. Re-optimize if the raw inputs change.</t>
      </text>
    </comment>
    <comment ref="D9" authorId="0" shapeId="0">
      <text>
        <t>Hard-margin constrained-QP solver output. Re-optimize if the raw inputs change.</t>
      </text>
    </comment>
    <comment ref="D10" authorId="0" shapeId="0">
      <text>
        <t>Hard-margin constrained-QP solver output. Re-optimize if the raw inputs change.</t>
      </text>
    </comment>
    <comment ref="D11" authorId="0" shapeId="0">
      <text>
        <t>Hard-margin constrained-QP solver output. Re-optimize if the raw inputs change.</t>
      </text>
    </comment>
    <comment ref="D12" authorId="0" shapeId="0">
      <text>
        <t>Hard-margin constrained-QP solver output. Re-optimize if the raw inputs change.</t>
      </text>
    </comment>
    <comment ref="D13" authorId="0" shapeId="0">
      <text>
        <t>Hard-margin constrained-QP solver output. Re-optimize if the raw inputs change.</t>
      </text>
    </comment>
    <comment ref="D14" authorId="0" shapeId="0">
      <text>
        <t>Hard-margin constrained-QP solver output. Re-optimize if the raw inputs change.</t>
      </text>
    </comment>
    <comment ref="D15" authorId="0" shapeId="0">
      <text>
        <t>Hard-margin constrained-QP solver output. Re-optimize if the raw inputs change.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82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10Table" displayName="Raw10Table" ref="A4:O14" headerRowCount="1">
  <autoFilter ref="A4:O14"/>
  <tableColumns count="15">
    <tableColumn id="1" name="i"/>
    <tableColumn id="2" name="Source Excel row"/>
    <tableColumn id="3" name="PatientID"/>
    <tableColumn id="4" name="Class y_i"/>
    <tableColumn id="5" name="Numeric t_i"/>
    <tableColumn id="6" name="PAC"/>
    <tableColumn id="7" name="PRA"/>
    <tableColumn id="8" name="Potassium"/>
    <tableColumn id="9" name="Tumor size"/>
    <tableColumn id="10" name="18-OHF"/>
    <tableColumn id="11" name="18-oxoF"/>
    <tableColumn id="12" name="Systolic BP"/>
    <tableColumn id="13" name="Diastolic BP"/>
    <tableColumn id="14" name="DDD"/>
    <tableColumn id="15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6" customWidth="1" min="3" max="3"/>
    <col width="23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Linear hard-margin SVM: 10-row worked Excel example</t>
        </is>
      </c>
    </row>
    <row r="2"/>
    <row r="3" ht="42" customHeight="1">
      <c r="A3" s="2" t="inlineStr">
        <is>
          <t>TEACHING SUBSET ONLY - the complete 114-row cohort and every CV training fold remain hard-margin infeasible; no ROC is calculated from these 10 rows.</t>
        </is>
      </c>
    </row>
    <row r="4"/>
    <row r="5" ht="22" customHeight="1">
      <c r="A5" s="3" t="inlineStr">
        <is>
          <t>The formula that caused confusion</t>
        </is>
      </c>
    </row>
    <row r="6">
      <c r="A6" s="4" t="inlineStr">
        <is>
          <t>Parameter vector</t>
        </is>
      </c>
      <c r="B6" s="5" t="inlineStr">
        <is>
          <t>theta = [w1, ..., w10, b]^T</t>
        </is>
      </c>
    </row>
    <row r="7">
      <c r="A7" s="4" t="inlineStr">
        <is>
          <t>Signed row vector</t>
        </is>
      </c>
      <c r="B7" s="5" t="inlineStr">
        <is>
          <t>u_i = t_i [x_i1, ..., x_i10, 1]^T</t>
        </is>
      </c>
    </row>
    <row r="8">
      <c r="A8" s="4" t="inlineStr">
        <is>
          <t>Row calculation</t>
        </is>
      </c>
      <c r="B8" s="5" t="inlineStr">
        <is>
          <t>u_i^T theta = t_i (w^T x_i + b) = t_i s_i</t>
        </is>
      </c>
    </row>
    <row r="9">
      <c r="A9" s="4" t="inlineStr">
        <is>
          <t>Hard-margin rule</t>
        </is>
      </c>
      <c r="B9" s="5" t="inlineStr">
        <is>
          <t>u_i^T theta &gt;= 1</t>
        </is>
      </c>
    </row>
    <row r="10"/>
    <row r="11" ht="38" customHeight="1">
      <c r="A11" s="6" t="inlineStr">
        <is>
          <t>Important: U_i is a row vector, so it is not U_i &gt; 1 by itself. The scalar dot product u_i^T theta must be at least 1.</t>
        </is>
      </c>
    </row>
    <row r="12"/>
    <row r="13" ht="22" customHeight="1">
      <c r="A13" s="3" t="inlineStr">
        <is>
          <t>How +1 and -1 become one inequality</t>
        </is>
      </c>
    </row>
    <row r="14" ht="38" customHeight="1">
      <c r="A14" s="7" t="inlineStr">
        <is>
          <t>Class y_i</t>
        </is>
      </c>
      <c r="B14" s="7" t="inlineStr">
        <is>
          <t>t_i</t>
        </is>
      </c>
      <c r="C14" s="7" t="inlineStr">
        <is>
          <t>Required score</t>
        </is>
      </c>
      <c r="D14" s="7" t="inlineStr">
        <is>
          <t>Signed-margin interpretation</t>
        </is>
      </c>
    </row>
    <row r="15">
      <c r="A15" s="8" t="inlineStr">
        <is>
          <t>UPA</t>
        </is>
      </c>
      <c r="B15" s="8" t="inlineStr">
        <is>
          <t>+1</t>
        </is>
      </c>
      <c r="C15" s="8" t="inlineStr">
        <is>
          <t>s_i &gt;= +1</t>
        </is>
      </c>
      <c r="D15" s="8" t="inlineStr">
        <is>
          <t>+1 x positive score &gt;= 1</t>
        </is>
      </c>
    </row>
    <row r="16">
      <c r="A16" s="9" t="inlineStr">
        <is>
          <t>BPA</t>
        </is>
      </c>
      <c r="B16" s="9" t="inlineStr">
        <is>
          <t>-1</t>
        </is>
      </c>
      <c r="C16" s="9" t="inlineStr">
        <is>
          <t>s_i &lt;= -1</t>
        </is>
      </c>
      <c r="D16" s="9" t="inlineStr">
        <is>
          <t>-1 x negative score &gt;= 1</t>
        </is>
      </c>
    </row>
    <row r="17"/>
    <row r="18" ht="22" customHeight="1">
      <c r="A18" s="3" t="inlineStr">
        <is>
          <t>Workbook map</t>
        </is>
      </c>
    </row>
    <row r="19" ht="38" customHeight="1">
      <c r="A19" s="7" t="inlineStr">
        <is>
          <t>Step</t>
        </is>
      </c>
      <c r="B19" s="7" t="inlineStr">
        <is>
          <t>Sheet</t>
        </is>
      </c>
      <c r="C19" s="7" t="inlineStr">
        <is>
          <t>What to inspect</t>
        </is>
      </c>
    </row>
    <row r="20" ht="30" customHeight="1">
      <c r="A20" s="9" t="inlineStr">
        <is>
          <t>1</t>
        </is>
      </c>
      <c r="B20" s="9" t="inlineStr">
        <is>
          <t>Raw_10</t>
        </is>
      </c>
      <c r="C20" s="10" t="inlineStr">
        <is>
          <t>The first 10 source rows: every raw x_i component, class y_i, and numeric t_i.</t>
        </is>
      </c>
    </row>
    <row r="21" ht="30" customHeight="1">
      <c r="A21" s="8" t="inlineStr">
        <is>
          <t>2</t>
        </is>
      </c>
      <c r="B21" s="8" t="inlineStr">
        <is>
          <t>Transform_10</t>
        </is>
      </c>
      <c r="C21" s="11" t="inlineStr">
        <is>
          <t>Natural-log transforms plus the mean and population SD used by this subset.</t>
        </is>
      </c>
    </row>
    <row r="22" ht="30" customHeight="1">
      <c r="A22" s="9" t="inlineStr">
        <is>
          <t>3</t>
        </is>
      </c>
      <c r="B22" s="9" t="inlineStr">
        <is>
          <t>X_Standardized</t>
        </is>
      </c>
      <c r="C22" s="10" t="inlineStr">
        <is>
          <t>The standardized model vectors x_i used in the SVM formulas.</t>
        </is>
      </c>
    </row>
    <row r="23" ht="30" customHeight="1">
      <c r="A23" s="8" t="inlineStr">
        <is>
          <t>4</t>
        </is>
      </c>
      <c r="B23" s="8" t="inlineStr">
        <is>
          <t>Theta_Derivatives</t>
        </is>
      </c>
      <c r="C23" s="11" t="inlineStr">
        <is>
          <t>Optimized w and b, objective, first derivative, and full Hessian.</t>
        </is>
      </c>
    </row>
    <row r="24" ht="30" customHeight="1">
      <c r="A24" s="9" t="inlineStr">
        <is>
          <t>5</t>
        </is>
      </c>
      <c r="B24" s="9" t="inlineStr">
        <is>
          <t>U_Margin_Check</t>
        </is>
      </c>
      <c r="C24" s="10" t="inlineStr">
        <is>
          <t>Every u_i component, u_i^T theta, g_i, feasibility, and support-vector status.</t>
        </is>
      </c>
    </row>
    <row r="25" ht="30" customHeight="1">
      <c r="A25" s="8" t="inlineStr">
        <is>
          <t>6</t>
        </is>
      </c>
      <c r="B25" s="8" t="inlineStr">
        <is>
          <t>Visualize</t>
        </is>
      </c>
      <c r="C25" s="11" t="inlineStr">
        <is>
          <t>Decision scores with -1, 0, +1 reference lines and signed-margin chart.</t>
        </is>
      </c>
    </row>
    <row r="26" ht="30" customHeight="1">
      <c r="A26" s="9" t="inlineStr">
        <is>
          <t>7</t>
        </is>
      </c>
      <c r="B26" s="9" t="inlineStr">
        <is>
          <t>Full_Data_Gate</t>
        </is>
      </c>
      <c r="C26" s="10" t="inlineStr">
        <is>
          <t>Why these 10 illustrative rows do not authorize a full-data ROC.</t>
        </is>
      </c>
    </row>
    <row r="27"/>
    <row r="28" ht="22" customHeight="1">
      <c r="A28" s="3" t="inlineStr">
        <is>
          <t>Selection and preprocessing notes</t>
        </is>
      </c>
    </row>
    <row r="29" ht="32" customHeight="1">
      <c r="A29" s="12" t="inlineStr">
        <is>
          <t>- Selection rule: scan top-to-bottom, take the first five UPA and first five BPA rows, then restore source order. This equals source rows 2-11.</t>
        </is>
      </c>
    </row>
    <row r="30" ht="32" customHeight="1">
      <c r="A30" s="12" t="inlineStr">
        <is>
          <t>- No selected value is missing, so median imputation is inactive in this worked example.</t>
        </is>
      </c>
    </row>
    <row r="31" ht="32" customHeight="1">
      <c r="A31" s="12" t="inlineStr">
        <is>
          <t>- PAC, PRA, 18-OHF, and 18-oxoF use LN(value + 1E-6); all 10 transformed features use subset mean and population SD.</t>
        </is>
      </c>
    </row>
    <row r="32" ht="32" customHeight="1">
      <c r="A32" s="12" t="inlineStr">
        <is>
          <t>- The coefficient cells are solver outputs. If raw inputs change, run the constrained optimizer again; Excel formulas alone do not re-optimize theta.</t>
        </is>
      </c>
    </row>
  </sheetData>
  <mergeCells count="15">
    <mergeCell ref="A1:H1"/>
    <mergeCell ref="A18:H18"/>
    <mergeCell ref="B8:H8"/>
    <mergeCell ref="A3:H3"/>
    <mergeCell ref="A30:H30"/>
    <mergeCell ref="B9:H9"/>
    <mergeCell ref="A29:H29"/>
    <mergeCell ref="A28:H28"/>
    <mergeCell ref="B6:H6"/>
    <mergeCell ref="A13:H13"/>
    <mergeCell ref="A11:H11"/>
    <mergeCell ref="B7:H7"/>
    <mergeCell ref="A5:H5"/>
    <mergeCell ref="A32:H32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3" customWidth="1" min="12" max="12"/>
    <col width="13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Step 1 - Raw values for each x_i and class label</t>
        </is>
      </c>
    </row>
    <row r="2">
      <c r="A2" s="13" t="inlineStr">
        <is>
          <t>Source: data/cgh_pa_dataset.xlsx, Sheet1. Selection is deterministic: first five UPA + first five BPA, restored to source order.</t>
        </is>
      </c>
    </row>
    <row r="3"/>
    <row r="4" ht="38" customHeight="1">
      <c r="A4" s="7" t="inlineStr">
        <is>
          <t>i</t>
        </is>
      </c>
      <c r="B4" s="7" t="inlineStr">
        <is>
          <t>Source Excel row</t>
        </is>
      </c>
      <c r="C4" s="7" t="inlineStr">
        <is>
          <t>PatientID</t>
        </is>
      </c>
      <c r="D4" s="7" t="inlineStr">
        <is>
          <t>Class y_i</t>
        </is>
      </c>
      <c r="E4" s="7" t="inlineStr">
        <is>
          <t>Numeric t_i</t>
        </is>
      </c>
      <c r="F4" s="7" t="inlineStr">
        <is>
          <t>PAC</t>
        </is>
      </c>
      <c r="G4" s="7" t="inlineStr">
        <is>
          <t>PRA</t>
        </is>
      </c>
      <c r="H4" s="7" t="inlineStr">
        <is>
          <t>Potassium</t>
        </is>
      </c>
      <c r="I4" s="7" t="inlineStr">
        <is>
          <t>Tumor size</t>
        </is>
      </c>
      <c r="J4" s="7" t="inlineStr">
        <is>
          <t>18-OHF</t>
        </is>
      </c>
      <c r="K4" s="7" t="inlineStr">
        <is>
          <t>18-oxoF</t>
        </is>
      </c>
      <c r="L4" s="7" t="inlineStr">
        <is>
          <t>Systolic BP</t>
        </is>
      </c>
      <c r="M4" s="7" t="inlineStr">
        <is>
          <t>Diastolic BP</t>
        </is>
      </c>
      <c r="N4" s="7" t="inlineStr">
        <is>
          <t>DDD</t>
        </is>
      </c>
      <c r="O4" s="7" t="inlineStr">
        <is>
          <t>Age</t>
        </is>
      </c>
    </row>
    <row r="5">
      <c r="A5" s="8" t="n">
        <v>1</v>
      </c>
      <c r="B5" s="8" t="n">
        <v>2</v>
      </c>
      <c r="C5" s="8" t="inlineStr">
        <is>
          <t>CGH-001</t>
        </is>
      </c>
      <c r="D5" s="8" t="inlineStr">
        <is>
          <t>UPA</t>
        </is>
      </c>
      <c r="E5" s="14" t="n">
        <v>1</v>
      </c>
      <c r="F5" s="15" t="n">
        <v>25</v>
      </c>
      <c r="G5" s="15" t="n">
        <v>0.5</v>
      </c>
      <c r="H5" s="15" t="n">
        <v>3.34</v>
      </c>
      <c r="I5" s="15" t="n">
        <v>10.8</v>
      </c>
      <c r="J5" s="15" t="n">
        <v>1862</v>
      </c>
      <c r="K5" s="15" t="n">
        <v>116.3</v>
      </c>
      <c r="L5" s="15" t="n">
        <v>144</v>
      </c>
      <c r="M5" s="15" t="n">
        <v>120</v>
      </c>
      <c r="N5" s="15" t="n">
        <v>2</v>
      </c>
      <c r="O5" s="15" t="n">
        <v>64</v>
      </c>
    </row>
    <row r="6">
      <c r="A6" s="9" t="n">
        <v>2</v>
      </c>
      <c r="B6" s="9" t="n">
        <v>3</v>
      </c>
      <c r="C6" s="9" t="inlineStr">
        <is>
          <t>CGH-002</t>
        </is>
      </c>
      <c r="D6" s="9" t="inlineStr">
        <is>
          <t>UPA</t>
        </is>
      </c>
      <c r="E6" s="14" t="n">
        <v>1</v>
      </c>
      <c r="F6" s="16" t="n">
        <v>42.6</v>
      </c>
      <c r="G6" s="16" t="n">
        <v>0.2</v>
      </c>
      <c r="H6" s="16" t="n">
        <v>3.23</v>
      </c>
      <c r="I6" s="16" t="n">
        <v>15.4</v>
      </c>
      <c r="J6" s="16" t="n">
        <v>1642</v>
      </c>
      <c r="K6" s="16" t="n">
        <v>180.1</v>
      </c>
      <c r="L6" s="16" t="n">
        <v>167</v>
      </c>
      <c r="M6" s="16" t="n">
        <v>105</v>
      </c>
      <c r="N6" s="16" t="n">
        <v>3</v>
      </c>
      <c r="O6" s="16" t="n">
        <v>45</v>
      </c>
    </row>
    <row r="7">
      <c r="A7" s="8" t="n">
        <v>3</v>
      </c>
      <c r="B7" s="8" t="n">
        <v>4</v>
      </c>
      <c r="C7" s="8" t="inlineStr">
        <is>
          <t>CGH-003</t>
        </is>
      </c>
      <c r="D7" s="8" t="inlineStr">
        <is>
          <t>UPA</t>
        </is>
      </c>
      <c r="E7" s="14" t="n">
        <v>1</v>
      </c>
      <c r="F7" s="15" t="n">
        <v>57</v>
      </c>
      <c r="G7" s="15" t="n">
        <v>0.2</v>
      </c>
      <c r="H7" s="15" t="n">
        <v>3.22</v>
      </c>
      <c r="I7" s="15" t="n">
        <v>9.4</v>
      </c>
      <c r="J7" s="15" t="n">
        <v>3479</v>
      </c>
      <c r="K7" s="15" t="n">
        <v>134.7</v>
      </c>
      <c r="L7" s="15" t="n">
        <v>154</v>
      </c>
      <c r="M7" s="15" t="n">
        <v>85</v>
      </c>
      <c r="N7" s="15" t="n">
        <v>2</v>
      </c>
      <c r="O7" s="15" t="n">
        <v>21</v>
      </c>
    </row>
    <row r="8">
      <c r="A8" s="9" t="n">
        <v>4</v>
      </c>
      <c r="B8" s="9" t="n">
        <v>5</v>
      </c>
      <c r="C8" s="9" t="inlineStr">
        <is>
          <t>CGH-004</t>
        </is>
      </c>
      <c r="D8" s="9" t="inlineStr">
        <is>
          <t>BPA</t>
        </is>
      </c>
      <c r="E8" s="14" t="n">
        <v>-1</v>
      </c>
      <c r="F8" s="16" t="n">
        <v>37.2</v>
      </c>
      <c r="G8" s="16" t="n">
        <v>1.5</v>
      </c>
      <c r="H8" s="16" t="n">
        <v>3.36</v>
      </c>
      <c r="I8" s="16" t="n">
        <v>9.6</v>
      </c>
      <c r="J8" s="16" t="n">
        <v>371</v>
      </c>
      <c r="K8" s="16" t="n">
        <v>35.6</v>
      </c>
      <c r="L8" s="16" t="n">
        <v>165</v>
      </c>
      <c r="M8" s="16" t="n">
        <v>71</v>
      </c>
      <c r="N8" s="16" t="n">
        <v>3</v>
      </c>
      <c r="O8" s="16" t="n">
        <v>53</v>
      </c>
    </row>
    <row r="9">
      <c r="A9" s="8" t="n">
        <v>5</v>
      </c>
      <c r="B9" s="8" t="n">
        <v>6</v>
      </c>
      <c r="C9" s="8" t="inlineStr">
        <is>
          <t>CGH-005</t>
        </is>
      </c>
      <c r="D9" s="8" t="inlineStr">
        <is>
          <t>BPA</t>
        </is>
      </c>
      <c r="E9" s="14" t="n">
        <v>-1</v>
      </c>
      <c r="F9" s="15" t="n">
        <v>13.6</v>
      </c>
      <c r="G9" s="15" t="n">
        <v>1.62</v>
      </c>
      <c r="H9" s="15" t="n">
        <v>3.55</v>
      </c>
      <c r="I9" s="15" t="n">
        <v>7.7</v>
      </c>
      <c r="J9" s="15" t="n">
        <v>1623</v>
      </c>
      <c r="K9" s="15" t="n">
        <v>60</v>
      </c>
      <c r="L9" s="15" t="n">
        <v>115</v>
      </c>
      <c r="M9" s="15" t="n">
        <v>73</v>
      </c>
      <c r="N9" s="15" t="n">
        <v>3</v>
      </c>
      <c r="O9" s="15" t="n">
        <v>59</v>
      </c>
    </row>
    <row r="10">
      <c r="A10" s="9" t="n">
        <v>6</v>
      </c>
      <c r="B10" s="9" t="n">
        <v>7</v>
      </c>
      <c r="C10" s="9" t="inlineStr">
        <is>
          <t>CGH-006</t>
        </is>
      </c>
      <c r="D10" s="9" t="inlineStr">
        <is>
          <t>BPA</t>
        </is>
      </c>
      <c r="E10" s="14" t="n">
        <v>-1</v>
      </c>
      <c r="F10" s="16" t="n">
        <v>8.4</v>
      </c>
      <c r="G10" s="16" t="n">
        <v>1.03</v>
      </c>
      <c r="H10" s="16" t="n">
        <v>4.03</v>
      </c>
      <c r="I10" s="16" t="n">
        <v>25.7</v>
      </c>
      <c r="J10" s="16" t="n">
        <v>1020</v>
      </c>
      <c r="K10" s="16" t="n">
        <v>131.5</v>
      </c>
      <c r="L10" s="16" t="n">
        <v>138</v>
      </c>
      <c r="M10" s="16" t="n">
        <v>91</v>
      </c>
      <c r="N10" s="16" t="n">
        <v>3</v>
      </c>
      <c r="O10" s="16" t="n">
        <v>57</v>
      </c>
    </row>
    <row r="11">
      <c r="A11" s="8" t="n">
        <v>7</v>
      </c>
      <c r="B11" s="8" t="n">
        <v>8</v>
      </c>
      <c r="C11" s="8" t="inlineStr">
        <is>
          <t>CGH-007</t>
        </is>
      </c>
      <c r="D11" s="8" t="inlineStr">
        <is>
          <t>BPA</t>
        </is>
      </c>
      <c r="E11" s="14" t="n">
        <v>-1</v>
      </c>
      <c r="F11" s="15" t="n">
        <v>19.1</v>
      </c>
      <c r="G11" s="15" t="n">
        <v>0.63</v>
      </c>
      <c r="H11" s="15" t="n">
        <v>3.64</v>
      </c>
      <c r="I11" s="15" t="n">
        <v>9.5</v>
      </c>
      <c r="J11" s="15" t="n">
        <v>1160</v>
      </c>
      <c r="K11" s="15" t="n">
        <v>46.9</v>
      </c>
      <c r="L11" s="15" t="n">
        <v>122</v>
      </c>
      <c r="M11" s="15" t="n">
        <v>90</v>
      </c>
      <c r="N11" s="15" t="n">
        <v>3</v>
      </c>
      <c r="O11" s="15" t="n">
        <v>47</v>
      </c>
    </row>
    <row r="12">
      <c r="A12" s="9" t="n">
        <v>8</v>
      </c>
      <c r="B12" s="9" t="n">
        <v>9</v>
      </c>
      <c r="C12" s="9" t="inlineStr">
        <is>
          <t>CGH-008</t>
        </is>
      </c>
      <c r="D12" s="9" t="inlineStr">
        <is>
          <t>BPA</t>
        </is>
      </c>
      <c r="E12" s="14" t="n">
        <v>-1</v>
      </c>
      <c r="F12" s="16" t="n">
        <v>15.6</v>
      </c>
      <c r="G12" s="16" t="n">
        <v>0.87</v>
      </c>
      <c r="H12" s="16" t="n">
        <v>4.12</v>
      </c>
      <c r="I12" s="16" t="n">
        <v>15.6</v>
      </c>
      <c r="J12" s="16" t="n">
        <v>807</v>
      </c>
      <c r="K12" s="16" t="n">
        <v>53.8</v>
      </c>
      <c r="L12" s="16" t="n">
        <v>124</v>
      </c>
      <c r="M12" s="16" t="n">
        <v>90</v>
      </c>
      <c r="N12" s="16" t="n">
        <v>2</v>
      </c>
      <c r="O12" s="16" t="n">
        <v>40</v>
      </c>
    </row>
    <row r="13">
      <c r="A13" s="8" t="n">
        <v>9</v>
      </c>
      <c r="B13" s="8" t="n">
        <v>10</v>
      </c>
      <c r="C13" s="8" t="inlineStr">
        <is>
          <t>CGH-009</t>
        </is>
      </c>
      <c r="D13" s="8" t="inlineStr">
        <is>
          <t>UPA</t>
        </is>
      </c>
      <c r="E13" s="14" t="n">
        <v>1</v>
      </c>
      <c r="F13" s="15" t="n">
        <v>22.5</v>
      </c>
      <c r="G13" s="15" t="n">
        <v>0.54</v>
      </c>
      <c r="H13" s="15" t="n">
        <v>3.13</v>
      </c>
      <c r="I13" s="15" t="n">
        <v>19.3</v>
      </c>
      <c r="J13" s="15" t="n">
        <v>2549</v>
      </c>
      <c r="K13" s="15" t="n">
        <v>216.1</v>
      </c>
      <c r="L13" s="15" t="n">
        <v>147</v>
      </c>
      <c r="M13" s="15" t="n">
        <v>90</v>
      </c>
      <c r="N13" s="15" t="n">
        <v>2</v>
      </c>
      <c r="O13" s="15" t="n">
        <v>53</v>
      </c>
    </row>
    <row r="14">
      <c r="A14" s="9" t="n">
        <v>10</v>
      </c>
      <c r="B14" s="9" t="n">
        <v>11</v>
      </c>
      <c r="C14" s="9" t="inlineStr">
        <is>
          <t>CGH-010</t>
        </is>
      </c>
      <c r="D14" s="9" t="inlineStr">
        <is>
          <t>UPA</t>
        </is>
      </c>
      <c r="E14" s="14" t="n">
        <v>1</v>
      </c>
      <c r="F14" s="16" t="n">
        <v>19.7</v>
      </c>
      <c r="G14" s="16" t="n">
        <v>0.76</v>
      </c>
      <c r="H14" s="16" t="n">
        <v>3.73</v>
      </c>
      <c r="I14" s="16" t="n">
        <v>14.3</v>
      </c>
      <c r="J14" s="16" t="n">
        <v>586</v>
      </c>
      <c r="K14" s="16" t="n">
        <v>47.3</v>
      </c>
      <c r="L14" s="16" t="n">
        <v>123</v>
      </c>
      <c r="M14" s="16" t="n">
        <v>94</v>
      </c>
      <c r="N14" s="16" t="n">
        <v>2</v>
      </c>
      <c r="O14" s="16" t="n">
        <v>56</v>
      </c>
    </row>
  </sheetData>
  <autoFilter ref="A4:O14"/>
  <mergeCells count="2">
    <mergeCell ref="A1:O1"/>
    <mergeCell ref="A2:O2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Step 2 - Transform features and calculate subset statistics</t>
        </is>
      </c>
    </row>
    <row r="2">
      <c r="A2" s="13" t="inlineStr">
        <is>
          <t>Formulas are live. The four hormone measurements use LN(value + 1E-6); other columns link directly to Raw_10.</t>
        </is>
      </c>
    </row>
    <row r="3"/>
    <row r="4" ht="38" customHeight="1">
      <c r="A4" s="7" t="inlineStr">
        <is>
          <t>i</t>
        </is>
      </c>
      <c r="B4" s="7" t="inlineStr">
        <is>
          <t>PatientID</t>
        </is>
      </c>
      <c r="C4" s="7" t="inlineStr">
        <is>
          <t>LN(PAC+1E-6)</t>
        </is>
      </c>
      <c r="D4" s="7" t="inlineStr">
        <is>
          <t>LN(PRA+1E-6)</t>
        </is>
      </c>
      <c r="E4" s="7" t="inlineStr">
        <is>
          <t>Potassium</t>
        </is>
      </c>
      <c r="F4" s="7" t="inlineStr">
        <is>
          <t>Tumor size</t>
        </is>
      </c>
      <c r="G4" s="7" t="inlineStr">
        <is>
          <t>LN(18-OHF+1E-6)</t>
        </is>
      </c>
      <c r="H4" s="7" t="inlineStr">
        <is>
          <t>LN(18-oxoF+1E-6)</t>
        </is>
      </c>
      <c r="I4" s="7" t="inlineStr">
        <is>
          <t>Systolic BP</t>
        </is>
      </c>
      <c r="J4" s="7" t="inlineStr">
        <is>
          <t>Diastolic BP</t>
        </is>
      </c>
      <c r="K4" s="7" t="inlineStr">
        <is>
          <t>DDD</t>
        </is>
      </c>
      <c r="L4" s="7" t="inlineStr">
        <is>
          <t>Age</t>
        </is>
      </c>
    </row>
    <row r="5">
      <c r="A5" s="8">
        <f>'Raw_10'!A5</f>
        <v/>
      </c>
      <c r="B5" s="8">
        <f>'Raw_10'!C5</f>
        <v/>
      </c>
      <c r="C5" s="17">
        <f>LN('Raw_10'!F5+1E-6)</f>
        <v/>
      </c>
      <c r="D5" s="17">
        <f>LN('Raw_10'!G5+1E-6)</f>
        <v/>
      </c>
      <c r="E5" s="17">
        <f>'Raw_10'!H5</f>
        <v/>
      </c>
      <c r="F5" s="17">
        <f>'Raw_10'!I5</f>
        <v/>
      </c>
      <c r="G5" s="17">
        <f>LN('Raw_10'!J5+1E-6)</f>
        <v/>
      </c>
      <c r="H5" s="17">
        <f>LN('Raw_10'!K5+1E-6)</f>
        <v/>
      </c>
      <c r="I5" s="17">
        <f>'Raw_10'!L5</f>
        <v/>
      </c>
      <c r="J5" s="17">
        <f>'Raw_10'!M5</f>
        <v/>
      </c>
      <c r="K5" s="17">
        <f>'Raw_10'!N5</f>
        <v/>
      </c>
      <c r="L5" s="17">
        <f>'Raw_10'!O5</f>
        <v/>
      </c>
    </row>
    <row r="6">
      <c r="A6" s="9">
        <f>'Raw_10'!A6</f>
        <v/>
      </c>
      <c r="B6" s="9">
        <f>'Raw_10'!C6</f>
        <v/>
      </c>
      <c r="C6" s="18">
        <f>LN('Raw_10'!F6+1E-6)</f>
        <v/>
      </c>
      <c r="D6" s="18">
        <f>LN('Raw_10'!G6+1E-6)</f>
        <v/>
      </c>
      <c r="E6" s="18">
        <f>'Raw_10'!H6</f>
        <v/>
      </c>
      <c r="F6" s="18">
        <f>'Raw_10'!I6</f>
        <v/>
      </c>
      <c r="G6" s="18">
        <f>LN('Raw_10'!J6+1E-6)</f>
        <v/>
      </c>
      <c r="H6" s="18">
        <f>LN('Raw_10'!K6+1E-6)</f>
        <v/>
      </c>
      <c r="I6" s="18">
        <f>'Raw_10'!L6</f>
        <v/>
      </c>
      <c r="J6" s="18">
        <f>'Raw_10'!M6</f>
        <v/>
      </c>
      <c r="K6" s="18">
        <f>'Raw_10'!N6</f>
        <v/>
      </c>
      <c r="L6" s="18">
        <f>'Raw_10'!O6</f>
        <v/>
      </c>
    </row>
    <row r="7">
      <c r="A7" s="8">
        <f>'Raw_10'!A7</f>
        <v/>
      </c>
      <c r="B7" s="8">
        <f>'Raw_10'!C7</f>
        <v/>
      </c>
      <c r="C7" s="17">
        <f>LN('Raw_10'!F7+1E-6)</f>
        <v/>
      </c>
      <c r="D7" s="17">
        <f>LN('Raw_10'!G7+1E-6)</f>
        <v/>
      </c>
      <c r="E7" s="17">
        <f>'Raw_10'!H7</f>
        <v/>
      </c>
      <c r="F7" s="17">
        <f>'Raw_10'!I7</f>
        <v/>
      </c>
      <c r="G7" s="17">
        <f>LN('Raw_10'!J7+1E-6)</f>
        <v/>
      </c>
      <c r="H7" s="17">
        <f>LN('Raw_10'!K7+1E-6)</f>
        <v/>
      </c>
      <c r="I7" s="17">
        <f>'Raw_10'!L7</f>
        <v/>
      </c>
      <c r="J7" s="17">
        <f>'Raw_10'!M7</f>
        <v/>
      </c>
      <c r="K7" s="17">
        <f>'Raw_10'!N7</f>
        <v/>
      </c>
      <c r="L7" s="17">
        <f>'Raw_10'!O7</f>
        <v/>
      </c>
    </row>
    <row r="8">
      <c r="A8" s="9">
        <f>'Raw_10'!A8</f>
        <v/>
      </c>
      <c r="B8" s="9">
        <f>'Raw_10'!C8</f>
        <v/>
      </c>
      <c r="C8" s="18">
        <f>LN('Raw_10'!F8+1E-6)</f>
        <v/>
      </c>
      <c r="D8" s="18">
        <f>LN('Raw_10'!G8+1E-6)</f>
        <v/>
      </c>
      <c r="E8" s="18">
        <f>'Raw_10'!H8</f>
        <v/>
      </c>
      <c r="F8" s="18">
        <f>'Raw_10'!I8</f>
        <v/>
      </c>
      <c r="G8" s="18">
        <f>LN('Raw_10'!J8+1E-6)</f>
        <v/>
      </c>
      <c r="H8" s="18">
        <f>LN('Raw_10'!K8+1E-6)</f>
        <v/>
      </c>
      <c r="I8" s="18">
        <f>'Raw_10'!L8</f>
        <v/>
      </c>
      <c r="J8" s="18">
        <f>'Raw_10'!M8</f>
        <v/>
      </c>
      <c r="K8" s="18">
        <f>'Raw_10'!N8</f>
        <v/>
      </c>
      <c r="L8" s="18">
        <f>'Raw_10'!O8</f>
        <v/>
      </c>
    </row>
    <row r="9">
      <c r="A9" s="8">
        <f>'Raw_10'!A9</f>
        <v/>
      </c>
      <c r="B9" s="8">
        <f>'Raw_10'!C9</f>
        <v/>
      </c>
      <c r="C9" s="17">
        <f>LN('Raw_10'!F9+1E-6)</f>
        <v/>
      </c>
      <c r="D9" s="17">
        <f>LN('Raw_10'!G9+1E-6)</f>
        <v/>
      </c>
      <c r="E9" s="17">
        <f>'Raw_10'!H9</f>
        <v/>
      </c>
      <c r="F9" s="17">
        <f>'Raw_10'!I9</f>
        <v/>
      </c>
      <c r="G9" s="17">
        <f>LN('Raw_10'!J9+1E-6)</f>
        <v/>
      </c>
      <c r="H9" s="17">
        <f>LN('Raw_10'!K9+1E-6)</f>
        <v/>
      </c>
      <c r="I9" s="17">
        <f>'Raw_10'!L9</f>
        <v/>
      </c>
      <c r="J9" s="17">
        <f>'Raw_10'!M9</f>
        <v/>
      </c>
      <c r="K9" s="17">
        <f>'Raw_10'!N9</f>
        <v/>
      </c>
      <c r="L9" s="17">
        <f>'Raw_10'!O9</f>
        <v/>
      </c>
    </row>
    <row r="10">
      <c r="A10" s="9">
        <f>'Raw_10'!A10</f>
        <v/>
      </c>
      <c r="B10" s="9">
        <f>'Raw_10'!C10</f>
        <v/>
      </c>
      <c r="C10" s="18">
        <f>LN('Raw_10'!F10+1E-6)</f>
        <v/>
      </c>
      <c r="D10" s="18">
        <f>LN('Raw_10'!G10+1E-6)</f>
        <v/>
      </c>
      <c r="E10" s="18">
        <f>'Raw_10'!H10</f>
        <v/>
      </c>
      <c r="F10" s="18">
        <f>'Raw_10'!I10</f>
        <v/>
      </c>
      <c r="G10" s="18">
        <f>LN('Raw_10'!J10+1E-6)</f>
        <v/>
      </c>
      <c r="H10" s="18">
        <f>LN('Raw_10'!K10+1E-6)</f>
        <v/>
      </c>
      <c r="I10" s="18">
        <f>'Raw_10'!L10</f>
        <v/>
      </c>
      <c r="J10" s="18">
        <f>'Raw_10'!M10</f>
        <v/>
      </c>
      <c r="K10" s="18">
        <f>'Raw_10'!N10</f>
        <v/>
      </c>
      <c r="L10" s="18">
        <f>'Raw_10'!O10</f>
        <v/>
      </c>
    </row>
    <row r="11">
      <c r="A11" s="8">
        <f>'Raw_10'!A11</f>
        <v/>
      </c>
      <c r="B11" s="8">
        <f>'Raw_10'!C11</f>
        <v/>
      </c>
      <c r="C11" s="17">
        <f>LN('Raw_10'!F11+1E-6)</f>
        <v/>
      </c>
      <c r="D11" s="17">
        <f>LN('Raw_10'!G11+1E-6)</f>
        <v/>
      </c>
      <c r="E11" s="17">
        <f>'Raw_10'!H11</f>
        <v/>
      </c>
      <c r="F11" s="17">
        <f>'Raw_10'!I11</f>
        <v/>
      </c>
      <c r="G11" s="17">
        <f>LN('Raw_10'!J11+1E-6)</f>
        <v/>
      </c>
      <c r="H11" s="17">
        <f>LN('Raw_10'!K11+1E-6)</f>
        <v/>
      </c>
      <c r="I11" s="17">
        <f>'Raw_10'!L11</f>
        <v/>
      </c>
      <c r="J11" s="17">
        <f>'Raw_10'!M11</f>
        <v/>
      </c>
      <c r="K11" s="17">
        <f>'Raw_10'!N11</f>
        <v/>
      </c>
      <c r="L11" s="17">
        <f>'Raw_10'!O11</f>
        <v/>
      </c>
    </row>
    <row r="12">
      <c r="A12" s="9">
        <f>'Raw_10'!A12</f>
        <v/>
      </c>
      <c r="B12" s="9">
        <f>'Raw_10'!C12</f>
        <v/>
      </c>
      <c r="C12" s="18">
        <f>LN('Raw_10'!F12+1E-6)</f>
        <v/>
      </c>
      <c r="D12" s="18">
        <f>LN('Raw_10'!G12+1E-6)</f>
        <v/>
      </c>
      <c r="E12" s="18">
        <f>'Raw_10'!H12</f>
        <v/>
      </c>
      <c r="F12" s="18">
        <f>'Raw_10'!I12</f>
        <v/>
      </c>
      <c r="G12" s="18">
        <f>LN('Raw_10'!J12+1E-6)</f>
        <v/>
      </c>
      <c r="H12" s="18">
        <f>LN('Raw_10'!K12+1E-6)</f>
        <v/>
      </c>
      <c r="I12" s="18">
        <f>'Raw_10'!L12</f>
        <v/>
      </c>
      <c r="J12" s="18">
        <f>'Raw_10'!M12</f>
        <v/>
      </c>
      <c r="K12" s="18">
        <f>'Raw_10'!N12</f>
        <v/>
      </c>
      <c r="L12" s="18">
        <f>'Raw_10'!O12</f>
        <v/>
      </c>
    </row>
    <row r="13">
      <c r="A13" s="8">
        <f>'Raw_10'!A13</f>
        <v/>
      </c>
      <c r="B13" s="8">
        <f>'Raw_10'!C13</f>
        <v/>
      </c>
      <c r="C13" s="17">
        <f>LN('Raw_10'!F13+1E-6)</f>
        <v/>
      </c>
      <c r="D13" s="17">
        <f>LN('Raw_10'!G13+1E-6)</f>
        <v/>
      </c>
      <c r="E13" s="17">
        <f>'Raw_10'!H13</f>
        <v/>
      </c>
      <c r="F13" s="17">
        <f>'Raw_10'!I13</f>
        <v/>
      </c>
      <c r="G13" s="17">
        <f>LN('Raw_10'!J13+1E-6)</f>
        <v/>
      </c>
      <c r="H13" s="17">
        <f>LN('Raw_10'!K13+1E-6)</f>
        <v/>
      </c>
      <c r="I13" s="17">
        <f>'Raw_10'!L13</f>
        <v/>
      </c>
      <c r="J13" s="17">
        <f>'Raw_10'!M13</f>
        <v/>
      </c>
      <c r="K13" s="17">
        <f>'Raw_10'!N13</f>
        <v/>
      </c>
      <c r="L13" s="17">
        <f>'Raw_10'!O13</f>
        <v/>
      </c>
    </row>
    <row r="14">
      <c r="A14" s="9">
        <f>'Raw_10'!A14</f>
        <v/>
      </c>
      <c r="B14" s="9">
        <f>'Raw_10'!C14</f>
        <v/>
      </c>
      <c r="C14" s="18">
        <f>LN('Raw_10'!F14+1E-6)</f>
        <v/>
      </c>
      <c r="D14" s="18">
        <f>LN('Raw_10'!G14+1E-6)</f>
        <v/>
      </c>
      <c r="E14" s="18">
        <f>'Raw_10'!H14</f>
        <v/>
      </c>
      <c r="F14" s="18">
        <f>'Raw_10'!I14</f>
        <v/>
      </c>
      <c r="G14" s="18">
        <f>LN('Raw_10'!J14+1E-6)</f>
        <v/>
      </c>
      <c r="H14" s="18">
        <f>LN('Raw_10'!K14+1E-6)</f>
        <v/>
      </c>
      <c r="I14" s="18">
        <f>'Raw_10'!L14</f>
        <v/>
      </c>
      <c r="J14" s="18">
        <f>'Raw_10'!M14</f>
        <v/>
      </c>
      <c r="K14" s="18">
        <f>'Raw_10'!N14</f>
        <v/>
      </c>
      <c r="L14" s="18">
        <f>'Raw_10'!O14</f>
        <v/>
      </c>
    </row>
    <row r="15"/>
    <row r="16">
      <c r="A16" s="19" t="inlineStr">
        <is>
          <t>Mean (mu_j)</t>
        </is>
      </c>
      <c r="B16" s="20" t="n"/>
      <c r="C16" s="21">
        <f>AVERAGE(C5:C14)</f>
        <v/>
      </c>
      <c r="D16" s="21">
        <f>AVERAGE(D5:D14)</f>
        <v/>
      </c>
      <c r="E16" s="21">
        <f>AVERAGE(E5:E14)</f>
        <v/>
      </c>
      <c r="F16" s="21">
        <f>AVERAGE(F5:F14)</f>
        <v/>
      </c>
      <c r="G16" s="21">
        <f>AVERAGE(G5:G14)</f>
        <v/>
      </c>
      <c r="H16" s="21">
        <f>AVERAGE(H5:H14)</f>
        <v/>
      </c>
      <c r="I16" s="21">
        <f>AVERAGE(I5:I14)</f>
        <v/>
      </c>
      <c r="J16" s="21">
        <f>AVERAGE(J5:J14)</f>
        <v/>
      </c>
      <c r="K16" s="21">
        <f>AVERAGE(K5:K14)</f>
        <v/>
      </c>
      <c r="L16" s="21">
        <f>AVERAGE(L5:L14)</f>
        <v/>
      </c>
    </row>
    <row r="17">
      <c r="A17" s="19" t="inlineStr">
        <is>
          <t>Population SD (sigma_j)</t>
        </is>
      </c>
      <c r="B17" s="20" t="n"/>
      <c r="C17" s="21">
        <f>STDEV.P(C5:C14)</f>
        <v/>
      </c>
      <c r="D17" s="21">
        <f>STDEV.P(D5:D14)</f>
        <v/>
      </c>
      <c r="E17" s="21">
        <f>STDEV.P(E5:E14)</f>
        <v/>
      </c>
      <c r="F17" s="21">
        <f>STDEV.P(F5:F14)</f>
        <v/>
      </c>
      <c r="G17" s="21">
        <f>STDEV.P(G5:G14)</f>
        <v/>
      </c>
      <c r="H17" s="21">
        <f>STDEV.P(H5:H14)</f>
        <v/>
      </c>
      <c r="I17" s="21">
        <f>STDEV.P(I5:I14)</f>
        <v/>
      </c>
      <c r="J17" s="21">
        <f>STDEV.P(J5:J14)</f>
        <v/>
      </c>
      <c r="K17" s="21">
        <f>STDEV.P(K5:K14)</f>
        <v/>
      </c>
      <c r="L17" s="21">
        <f>STDEV.P(L5:L14)</f>
        <v/>
      </c>
    </row>
    <row r="18">
      <c r="A18" s="19" t="inlineStr">
        <is>
          <t>Median (imputation reference)</t>
        </is>
      </c>
      <c r="B18" s="20" t="n"/>
      <c r="C18" s="21">
        <f>MEDIAN(C5:C14)</f>
        <v/>
      </c>
      <c r="D18" s="21">
        <f>MEDIAN(D5:D14)</f>
        <v/>
      </c>
      <c r="E18" s="21">
        <f>MEDIAN(E5:E14)</f>
        <v/>
      </c>
      <c r="F18" s="21">
        <f>MEDIAN(F5:F14)</f>
        <v/>
      </c>
      <c r="G18" s="21">
        <f>MEDIAN(G5:G14)</f>
        <v/>
      </c>
      <c r="H18" s="21">
        <f>MEDIAN(H5:H14)</f>
        <v/>
      </c>
      <c r="I18" s="21">
        <f>MEDIAN(I5:I14)</f>
        <v/>
      </c>
      <c r="J18" s="21">
        <f>MEDIAN(J5:J14)</f>
        <v/>
      </c>
      <c r="K18" s="21">
        <f>MEDIAN(K5:K14)</f>
        <v/>
      </c>
      <c r="L18" s="21">
        <f>MEDIAN(L5:L14)</f>
        <v/>
      </c>
    </row>
    <row r="19"/>
    <row r="20">
      <c r="A20" s="22" t="inlineStr">
        <is>
          <t>No values are missing in these ten rows, so the median is shown for completeness but is not substituted anywhere.</t>
        </is>
      </c>
    </row>
  </sheetData>
  <mergeCells count="3">
    <mergeCell ref="A20:L20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8" customHeight="1">
      <c r="A1" s="1" t="inlineStr">
        <is>
          <t>Step 3 - Standardized model vectors x_i</t>
        </is>
      </c>
    </row>
    <row r="2">
      <c r="A2" s="22" t="inlineStr">
        <is>
          <t>Each component is x_ij = (transformed value - mu_j) / sigma_j. These x_i vectors enter the SVM.</t>
        </is>
      </c>
    </row>
    <row r="3"/>
    <row r="4" ht="38" customHeight="1">
      <c r="A4" s="7" t="inlineStr">
        <is>
          <t>i</t>
        </is>
      </c>
      <c r="B4" s="7" t="inlineStr">
        <is>
          <t>PatientID</t>
        </is>
      </c>
      <c r="C4" s="7" t="inlineStr">
        <is>
          <t>Class y_i</t>
        </is>
      </c>
      <c r="D4" s="7" t="inlineStr">
        <is>
          <t>t_i</t>
        </is>
      </c>
      <c r="E4" s="7" t="inlineStr">
        <is>
          <t>PAC</t>
        </is>
      </c>
      <c r="F4" s="7" t="inlineStr">
        <is>
          <t>PRA</t>
        </is>
      </c>
      <c r="G4" s="7" t="inlineStr">
        <is>
          <t>Potassium</t>
        </is>
      </c>
      <c r="H4" s="7" t="inlineStr">
        <is>
          <t>Tumor size</t>
        </is>
      </c>
      <c r="I4" s="7" t="inlineStr">
        <is>
          <t>18-OHF</t>
        </is>
      </c>
      <c r="J4" s="7" t="inlineStr">
        <is>
          <t>18-oxoF</t>
        </is>
      </c>
      <c r="K4" s="7" t="inlineStr">
        <is>
          <t>Systolic BP</t>
        </is>
      </c>
      <c r="L4" s="7" t="inlineStr">
        <is>
          <t>Diastolic BP</t>
        </is>
      </c>
      <c r="M4" s="7" t="inlineStr">
        <is>
          <t>DDD</t>
        </is>
      </c>
      <c r="N4" s="7" t="inlineStr">
        <is>
          <t>Age</t>
        </is>
      </c>
    </row>
    <row r="5">
      <c r="A5" s="8">
        <f>'Raw_10'!A5</f>
        <v/>
      </c>
      <c r="B5" s="8">
        <f>'Raw_10'!C5</f>
        <v/>
      </c>
      <c r="C5" s="8">
        <f>'Raw_10'!D5</f>
        <v/>
      </c>
      <c r="D5" s="14">
        <f>'Raw_10'!E5</f>
        <v/>
      </c>
      <c r="E5" s="23">
        <f>('Transform_10'!C5-'Transform_10'!C$16)/'Transform_10'!C$17</f>
        <v/>
      </c>
      <c r="F5" s="23">
        <f>('Transform_10'!D5-'Transform_10'!D$16)/'Transform_10'!D$17</f>
        <v/>
      </c>
      <c r="G5" s="23">
        <f>('Transform_10'!E5-'Transform_10'!E$16)/'Transform_10'!E$17</f>
        <v/>
      </c>
      <c r="H5" s="23">
        <f>('Transform_10'!F5-'Transform_10'!F$16)/'Transform_10'!F$17</f>
        <v/>
      </c>
      <c r="I5" s="23">
        <f>('Transform_10'!G5-'Transform_10'!G$16)/'Transform_10'!G$17</f>
        <v/>
      </c>
      <c r="J5" s="23">
        <f>('Transform_10'!H5-'Transform_10'!H$16)/'Transform_10'!H$17</f>
        <v/>
      </c>
      <c r="K5" s="23">
        <f>('Transform_10'!I5-'Transform_10'!I$16)/'Transform_10'!I$17</f>
        <v/>
      </c>
      <c r="L5" s="23">
        <f>('Transform_10'!J5-'Transform_10'!J$16)/'Transform_10'!J$17</f>
        <v/>
      </c>
      <c r="M5" s="23">
        <f>('Transform_10'!K5-'Transform_10'!K$16)/'Transform_10'!K$17</f>
        <v/>
      </c>
      <c r="N5" s="23">
        <f>('Transform_10'!L5-'Transform_10'!L$16)/'Transform_10'!L$17</f>
        <v/>
      </c>
    </row>
    <row r="6">
      <c r="A6" s="9">
        <f>'Raw_10'!A6</f>
        <v/>
      </c>
      <c r="B6" s="9">
        <f>'Raw_10'!C6</f>
        <v/>
      </c>
      <c r="C6" s="9">
        <f>'Raw_10'!D6</f>
        <v/>
      </c>
      <c r="D6" s="14">
        <f>'Raw_10'!E6</f>
        <v/>
      </c>
      <c r="E6" s="24">
        <f>('Transform_10'!C6-'Transform_10'!C$16)/'Transform_10'!C$17</f>
        <v/>
      </c>
      <c r="F6" s="24">
        <f>('Transform_10'!D6-'Transform_10'!D$16)/'Transform_10'!D$17</f>
        <v/>
      </c>
      <c r="G6" s="24">
        <f>('Transform_10'!E6-'Transform_10'!E$16)/'Transform_10'!E$17</f>
        <v/>
      </c>
      <c r="H6" s="24">
        <f>('Transform_10'!F6-'Transform_10'!F$16)/'Transform_10'!F$17</f>
        <v/>
      </c>
      <c r="I6" s="24">
        <f>('Transform_10'!G6-'Transform_10'!G$16)/'Transform_10'!G$17</f>
        <v/>
      </c>
      <c r="J6" s="24">
        <f>('Transform_10'!H6-'Transform_10'!H$16)/'Transform_10'!H$17</f>
        <v/>
      </c>
      <c r="K6" s="24">
        <f>('Transform_10'!I6-'Transform_10'!I$16)/'Transform_10'!I$17</f>
        <v/>
      </c>
      <c r="L6" s="24">
        <f>('Transform_10'!J6-'Transform_10'!J$16)/'Transform_10'!J$17</f>
        <v/>
      </c>
      <c r="M6" s="24">
        <f>('Transform_10'!K6-'Transform_10'!K$16)/'Transform_10'!K$17</f>
        <v/>
      </c>
      <c r="N6" s="24">
        <f>('Transform_10'!L6-'Transform_10'!L$16)/'Transform_10'!L$17</f>
        <v/>
      </c>
    </row>
    <row r="7">
      <c r="A7" s="8">
        <f>'Raw_10'!A7</f>
        <v/>
      </c>
      <c r="B7" s="8">
        <f>'Raw_10'!C7</f>
        <v/>
      </c>
      <c r="C7" s="8">
        <f>'Raw_10'!D7</f>
        <v/>
      </c>
      <c r="D7" s="14">
        <f>'Raw_10'!E7</f>
        <v/>
      </c>
      <c r="E7" s="23">
        <f>('Transform_10'!C7-'Transform_10'!C$16)/'Transform_10'!C$17</f>
        <v/>
      </c>
      <c r="F7" s="23">
        <f>('Transform_10'!D7-'Transform_10'!D$16)/'Transform_10'!D$17</f>
        <v/>
      </c>
      <c r="G7" s="23">
        <f>('Transform_10'!E7-'Transform_10'!E$16)/'Transform_10'!E$17</f>
        <v/>
      </c>
      <c r="H7" s="23">
        <f>('Transform_10'!F7-'Transform_10'!F$16)/'Transform_10'!F$17</f>
        <v/>
      </c>
      <c r="I7" s="23">
        <f>('Transform_10'!G7-'Transform_10'!G$16)/'Transform_10'!G$17</f>
        <v/>
      </c>
      <c r="J7" s="23">
        <f>('Transform_10'!H7-'Transform_10'!H$16)/'Transform_10'!H$17</f>
        <v/>
      </c>
      <c r="K7" s="23">
        <f>('Transform_10'!I7-'Transform_10'!I$16)/'Transform_10'!I$17</f>
        <v/>
      </c>
      <c r="L7" s="23">
        <f>('Transform_10'!J7-'Transform_10'!J$16)/'Transform_10'!J$17</f>
        <v/>
      </c>
      <c r="M7" s="23">
        <f>('Transform_10'!K7-'Transform_10'!K$16)/'Transform_10'!K$17</f>
        <v/>
      </c>
      <c r="N7" s="23">
        <f>('Transform_10'!L7-'Transform_10'!L$16)/'Transform_10'!L$17</f>
        <v/>
      </c>
    </row>
    <row r="8">
      <c r="A8" s="9">
        <f>'Raw_10'!A8</f>
        <v/>
      </c>
      <c r="B8" s="9">
        <f>'Raw_10'!C8</f>
        <v/>
      </c>
      <c r="C8" s="9">
        <f>'Raw_10'!D8</f>
        <v/>
      </c>
      <c r="D8" s="14">
        <f>'Raw_10'!E8</f>
        <v/>
      </c>
      <c r="E8" s="24">
        <f>('Transform_10'!C8-'Transform_10'!C$16)/'Transform_10'!C$17</f>
        <v/>
      </c>
      <c r="F8" s="24">
        <f>('Transform_10'!D8-'Transform_10'!D$16)/'Transform_10'!D$17</f>
        <v/>
      </c>
      <c r="G8" s="24">
        <f>('Transform_10'!E8-'Transform_10'!E$16)/'Transform_10'!E$17</f>
        <v/>
      </c>
      <c r="H8" s="24">
        <f>('Transform_10'!F8-'Transform_10'!F$16)/'Transform_10'!F$17</f>
        <v/>
      </c>
      <c r="I8" s="24">
        <f>('Transform_10'!G8-'Transform_10'!G$16)/'Transform_10'!G$17</f>
        <v/>
      </c>
      <c r="J8" s="24">
        <f>('Transform_10'!H8-'Transform_10'!H$16)/'Transform_10'!H$17</f>
        <v/>
      </c>
      <c r="K8" s="24">
        <f>('Transform_10'!I8-'Transform_10'!I$16)/'Transform_10'!I$17</f>
        <v/>
      </c>
      <c r="L8" s="24">
        <f>('Transform_10'!J8-'Transform_10'!J$16)/'Transform_10'!J$17</f>
        <v/>
      </c>
      <c r="M8" s="24">
        <f>('Transform_10'!K8-'Transform_10'!K$16)/'Transform_10'!K$17</f>
        <v/>
      </c>
      <c r="N8" s="24">
        <f>('Transform_10'!L8-'Transform_10'!L$16)/'Transform_10'!L$17</f>
        <v/>
      </c>
    </row>
    <row r="9">
      <c r="A9" s="8">
        <f>'Raw_10'!A9</f>
        <v/>
      </c>
      <c r="B9" s="8">
        <f>'Raw_10'!C9</f>
        <v/>
      </c>
      <c r="C9" s="8">
        <f>'Raw_10'!D9</f>
        <v/>
      </c>
      <c r="D9" s="14">
        <f>'Raw_10'!E9</f>
        <v/>
      </c>
      <c r="E9" s="23">
        <f>('Transform_10'!C9-'Transform_10'!C$16)/'Transform_10'!C$17</f>
        <v/>
      </c>
      <c r="F9" s="23">
        <f>('Transform_10'!D9-'Transform_10'!D$16)/'Transform_10'!D$17</f>
        <v/>
      </c>
      <c r="G9" s="23">
        <f>('Transform_10'!E9-'Transform_10'!E$16)/'Transform_10'!E$17</f>
        <v/>
      </c>
      <c r="H9" s="23">
        <f>('Transform_10'!F9-'Transform_10'!F$16)/'Transform_10'!F$17</f>
        <v/>
      </c>
      <c r="I9" s="23">
        <f>('Transform_10'!G9-'Transform_10'!G$16)/'Transform_10'!G$17</f>
        <v/>
      </c>
      <c r="J9" s="23">
        <f>('Transform_10'!H9-'Transform_10'!H$16)/'Transform_10'!H$17</f>
        <v/>
      </c>
      <c r="K9" s="23">
        <f>('Transform_10'!I9-'Transform_10'!I$16)/'Transform_10'!I$17</f>
        <v/>
      </c>
      <c r="L9" s="23">
        <f>('Transform_10'!J9-'Transform_10'!J$16)/'Transform_10'!J$17</f>
        <v/>
      </c>
      <c r="M9" s="23">
        <f>('Transform_10'!K9-'Transform_10'!K$16)/'Transform_10'!K$17</f>
        <v/>
      </c>
      <c r="N9" s="23">
        <f>('Transform_10'!L9-'Transform_10'!L$16)/'Transform_10'!L$17</f>
        <v/>
      </c>
    </row>
    <row r="10">
      <c r="A10" s="9">
        <f>'Raw_10'!A10</f>
        <v/>
      </c>
      <c r="B10" s="9">
        <f>'Raw_10'!C10</f>
        <v/>
      </c>
      <c r="C10" s="9">
        <f>'Raw_10'!D10</f>
        <v/>
      </c>
      <c r="D10" s="14">
        <f>'Raw_10'!E10</f>
        <v/>
      </c>
      <c r="E10" s="24">
        <f>('Transform_10'!C10-'Transform_10'!C$16)/'Transform_10'!C$17</f>
        <v/>
      </c>
      <c r="F10" s="24">
        <f>('Transform_10'!D10-'Transform_10'!D$16)/'Transform_10'!D$17</f>
        <v/>
      </c>
      <c r="G10" s="24">
        <f>('Transform_10'!E10-'Transform_10'!E$16)/'Transform_10'!E$17</f>
        <v/>
      </c>
      <c r="H10" s="24">
        <f>('Transform_10'!F10-'Transform_10'!F$16)/'Transform_10'!F$17</f>
        <v/>
      </c>
      <c r="I10" s="24">
        <f>('Transform_10'!G10-'Transform_10'!G$16)/'Transform_10'!G$17</f>
        <v/>
      </c>
      <c r="J10" s="24">
        <f>('Transform_10'!H10-'Transform_10'!H$16)/'Transform_10'!H$17</f>
        <v/>
      </c>
      <c r="K10" s="24">
        <f>('Transform_10'!I10-'Transform_10'!I$16)/'Transform_10'!I$17</f>
        <v/>
      </c>
      <c r="L10" s="24">
        <f>('Transform_10'!J10-'Transform_10'!J$16)/'Transform_10'!J$17</f>
        <v/>
      </c>
      <c r="M10" s="24">
        <f>('Transform_10'!K10-'Transform_10'!K$16)/'Transform_10'!K$17</f>
        <v/>
      </c>
      <c r="N10" s="24">
        <f>('Transform_10'!L10-'Transform_10'!L$16)/'Transform_10'!L$17</f>
        <v/>
      </c>
    </row>
    <row r="11">
      <c r="A11" s="8">
        <f>'Raw_10'!A11</f>
        <v/>
      </c>
      <c r="B11" s="8">
        <f>'Raw_10'!C11</f>
        <v/>
      </c>
      <c r="C11" s="8">
        <f>'Raw_10'!D11</f>
        <v/>
      </c>
      <c r="D11" s="14">
        <f>'Raw_10'!E11</f>
        <v/>
      </c>
      <c r="E11" s="23">
        <f>('Transform_10'!C11-'Transform_10'!C$16)/'Transform_10'!C$17</f>
        <v/>
      </c>
      <c r="F11" s="23">
        <f>('Transform_10'!D11-'Transform_10'!D$16)/'Transform_10'!D$17</f>
        <v/>
      </c>
      <c r="G11" s="23">
        <f>('Transform_10'!E11-'Transform_10'!E$16)/'Transform_10'!E$17</f>
        <v/>
      </c>
      <c r="H11" s="23">
        <f>('Transform_10'!F11-'Transform_10'!F$16)/'Transform_10'!F$17</f>
        <v/>
      </c>
      <c r="I11" s="23">
        <f>('Transform_10'!G11-'Transform_10'!G$16)/'Transform_10'!G$17</f>
        <v/>
      </c>
      <c r="J11" s="23">
        <f>('Transform_10'!H11-'Transform_10'!H$16)/'Transform_10'!H$17</f>
        <v/>
      </c>
      <c r="K11" s="23">
        <f>('Transform_10'!I11-'Transform_10'!I$16)/'Transform_10'!I$17</f>
        <v/>
      </c>
      <c r="L11" s="23">
        <f>('Transform_10'!J11-'Transform_10'!J$16)/'Transform_10'!J$17</f>
        <v/>
      </c>
      <c r="M11" s="23">
        <f>('Transform_10'!K11-'Transform_10'!K$16)/'Transform_10'!K$17</f>
        <v/>
      </c>
      <c r="N11" s="23">
        <f>('Transform_10'!L11-'Transform_10'!L$16)/'Transform_10'!L$17</f>
        <v/>
      </c>
    </row>
    <row r="12">
      <c r="A12" s="9">
        <f>'Raw_10'!A12</f>
        <v/>
      </c>
      <c r="B12" s="9">
        <f>'Raw_10'!C12</f>
        <v/>
      </c>
      <c r="C12" s="9">
        <f>'Raw_10'!D12</f>
        <v/>
      </c>
      <c r="D12" s="14">
        <f>'Raw_10'!E12</f>
        <v/>
      </c>
      <c r="E12" s="24">
        <f>('Transform_10'!C12-'Transform_10'!C$16)/'Transform_10'!C$17</f>
        <v/>
      </c>
      <c r="F12" s="24">
        <f>('Transform_10'!D12-'Transform_10'!D$16)/'Transform_10'!D$17</f>
        <v/>
      </c>
      <c r="G12" s="24">
        <f>('Transform_10'!E12-'Transform_10'!E$16)/'Transform_10'!E$17</f>
        <v/>
      </c>
      <c r="H12" s="24">
        <f>('Transform_10'!F12-'Transform_10'!F$16)/'Transform_10'!F$17</f>
        <v/>
      </c>
      <c r="I12" s="24">
        <f>('Transform_10'!G12-'Transform_10'!G$16)/'Transform_10'!G$17</f>
        <v/>
      </c>
      <c r="J12" s="24">
        <f>('Transform_10'!H12-'Transform_10'!H$16)/'Transform_10'!H$17</f>
        <v/>
      </c>
      <c r="K12" s="24">
        <f>('Transform_10'!I12-'Transform_10'!I$16)/'Transform_10'!I$17</f>
        <v/>
      </c>
      <c r="L12" s="24">
        <f>('Transform_10'!J12-'Transform_10'!J$16)/'Transform_10'!J$17</f>
        <v/>
      </c>
      <c r="M12" s="24">
        <f>('Transform_10'!K12-'Transform_10'!K$16)/'Transform_10'!K$17</f>
        <v/>
      </c>
      <c r="N12" s="24">
        <f>('Transform_10'!L12-'Transform_10'!L$16)/'Transform_10'!L$17</f>
        <v/>
      </c>
    </row>
    <row r="13">
      <c r="A13" s="8">
        <f>'Raw_10'!A13</f>
        <v/>
      </c>
      <c r="B13" s="8">
        <f>'Raw_10'!C13</f>
        <v/>
      </c>
      <c r="C13" s="8">
        <f>'Raw_10'!D13</f>
        <v/>
      </c>
      <c r="D13" s="14">
        <f>'Raw_10'!E13</f>
        <v/>
      </c>
      <c r="E13" s="23">
        <f>('Transform_10'!C13-'Transform_10'!C$16)/'Transform_10'!C$17</f>
        <v/>
      </c>
      <c r="F13" s="23">
        <f>('Transform_10'!D13-'Transform_10'!D$16)/'Transform_10'!D$17</f>
        <v/>
      </c>
      <c r="G13" s="23">
        <f>('Transform_10'!E13-'Transform_10'!E$16)/'Transform_10'!E$17</f>
        <v/>
      </c>
      <c r="H13" s="23">
        <f>('Transform_10'!F13-'Transform_10'!F$16)/'Transform_10'!F$17</f>
        <v/>
      </c>
      <c r="I13" s="23">
        <f>('Transform_10'!G13-'Transform_10'!G$16)/'Transform_10'!G$17</f>
        <v/>
      </c>
      <c r="J13" s="23">
        <f>('Transform_10'!H13-'Transform_10'!H$16)/'Transform_10'!H$17</f>
        <v/>
      </c>
      <c r="K13" s="23">
        <f>('Transform_10'!I13-'Transform_10'!I$16)/'Transform_10'!I$17</f>
        <v/>
      </c>
      <c r="L13" s="23">
        <f>('Transform_10'!J13-'Transform_10'!J$16)/'Transform_10'!J$17</f>
        <v/>
      </c>
      <c r="M13" s="23">
        <f>('Transform_10'!K13-'Transform_10'!K$16)/'Transform_10'!K$17</f>
        <v/>
      </c>
      <c r="N13" s="23">
        <f>('Transform_10'!L13-'Transform_10'!L$16)/'Transform_10'!L$17</f>
        <v/>
      </c>
    </row>
    <row r="14">
      <c r="A14" s="9">
        <f>'Raw_10'!A14</f>
        <v/>
      </c>
      <c r="B14" s="9">
        <f>'Raw_10'!C14</f>
        <v/>
      </c>
      <c r="C14" s="9">
        <f>'Raw_10'!D14</f>
        <v/>
      </c>
      <c r="D14" s="14">
        <f>'Raw_10'!E14</f>
        <v/>
      </c>
      <c r="E14" s="24">
        <f>('Transform_10'!C14-'Transform_10'!C$16)/'Transform_10'!C$17</f>
        <v/>
      </c>
      <c r="F14" s="24">
        <f>('Transform_10'!D14-'Transform_10'!D$16)/'Transform_10'!D$17</f>
        <v/>
      </c>
      <c r="G14" s="24">
        <f>('Transform_10'!E14-'Transform_10'!E$16)/'Transform_10'!E$17</f>
        <v/>
      </c>
      <c r="H14" s="24">
        <f>('Transform_10'!F14-'Transform_10'!F$16)/'Transform_10'!F$17</f>
        <v/>
      </c>
      <c r="I14" s="24">
        <f>('Transform_10'!G14-'Transform_10'!G$16)/'Transform_10'!G$17</f>
        <v/>
      </c>
      <c r="J14" s="24">
        <f>('Transform_10'!H14-'Transform_10'!H$16)/'Transform_10'!H$17</f>
        <v/>
      </c>
      <c r="K14" s="24">
        <f>('Transform_10'!I14-'Transform_10'!I$16)/'Transform_10'!I$17</f>
        <v/>
      </c>
      <c r="L14" s="24">
        <f>('Transform_10'!J14-'Transform_10'!J$16)/'Transform_10'!J$17</f>
        <v/>
      </c>
      <c r="M14" s="24">
        <f>('Transform_10'!K14-'Transform_10'!K$16)/'Transform_10'!K$17</f>
        <v/>
      </c>
      <c r="N14" s="24">
        <f>('Transform_10'!L14-'Transform_10'!L$16)/'Transform_10'!L$17</f>
        <v/>
      </c>
    </row>
    <row r="15"/>
    <row r="16">
      <c r="A16" s="19" t="inlineStr">
        <is>
          <t>Check mean</t>
        </is>
      </c>
      <c r="B16" s="20" t="n"/>
      <c r="C16" s="20" t="n"/>
      <c r="D16" s="20" t="n"/>
      <c r="E16" s="21">
        <f>AVERAGE(E5:E14)</f>
        <v/>
      </c>
      <c r="F16" s="21">
        <f>AVERAGE(F5:F14)</f>
        <v/>
      </c>
      <c r="G16" s="21">
        <f>AVERAGE(G5:G14)</f>
        <v/>
      </c>
      <c r="H16" s="21">
        <f>AVERAGE(H5:H14)</f>
        <v/>
      </c>
      <c r="I16" s="21">
        <f>AVERAGE(I5:I14)</f>
        <v/>
      </c>
      <c r="J16" s="21">
        <f>AVERAGE(J5:J14)</f>
        <v/>
      </c>
      <c r="K16" s="21">
        <f>AVERAGE(K5:K14)</f>
        <v/>
      </c>
      <c r="L16" s="21">
        <f>AVERAGE(L5:L14)</f>
        <v/>
      </c>
      <c r="M16" s="21">
        <f>AVERAGE(M5:M14)</f>
        <v/>
      </c>
      <c r="N16" s="21">
        <f>AVERAGE(N5:N14)</f>
        <v/>
      </c>
    </row>
    <row r="17">
      <c r="A17" s="19" t="inlineStr">
        <is>
          <t>Check population SD</t>
        </is>
      </c>
      <c r="B17" s="20" t="n"/>
      <c r="C17" s="20" t="n"/>
      <c r="D17" s="20" t="n"/>
      <c r="E17" s="21">
        <f>STDEV.P(E5:E14)</f>
        <v/>
      </c>
      <c r="F17" s="21">
        <f>STDEV.P(F5:F14)</f>
        <v/>
      </c>
      <c r="G17" s="21">
        <f>STDEV.P(G5:G14)</f>
        <v/>
      </c>
      <c r="H17" s="21">
        <f>STDEV.P(H5:H14)</f>
        <v/>
      </c>
      <c r="I17" s="21">
        <f>STDEV.P(I5:I14)</f>
        <v/>
      </c>
      <c r="J17" s="21">
        <f>STDEV.P(J5:J14)</f>
        <v/>
      </c>
      <c r="K17" s="21">
        <f>STDEV.P(K5:K14)</f>
        <v/>
      </c>
      <c r="L17" s="21">
        <f>STDEV.P(L5:L14)</f>
        <v/>
      </c>
      <c r="M17" s="21">
        <f>STDEV.P(M5:M14)</f>
        <v/>
      </c>
      <c r="N17" s="21">
        <f>STDEV.P(N5:N14)</f>
        <v/>
      </c>
    </row>
    <row r="18"/>
    <row r="19">
      <c r="A19" s="22" t="inlineStr">
        <is>
          <t>Expected checks: feature means approximately 0 and population SDs approximately 1.</t>
        </is>
      </c>
    </row>
  </sheetData>
  <mergeCells count="3">
    <mergeCell ref="A19:N19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6" customWidth="1" min="3" max="3"/>
    <col width="18" customWidth="1" min="4" max="4"/>
    <col width="22" customWidth="1" min="5" max="5"/>
    <col width="27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8" customHeight="1">
      <c r="A1" s="1" t="inlineStr">
        <is>
          <t>Step 4 - Values optimized in the primal, gradient, and Hessian</t>
        </is>
      </c>
    </row>
    <row r="2" ht="35" customHeight="1">
      <c r="A2" s="13" t="inlineStr">
        <is>
          <t>Optimize theta = [w1,...,w10,b]^T to minimize 0.5||w||^2 subject to every u_i^T theta &gt;= 1. Blue numbers are solver outputs; black cells are Excel formulas.</t>
        </is>
      </c>
    </row>
    <row r="3"/>
    <row r="4" ht="38" customHeight="1">
      <c r="A4" s="7" t="inlineStr">
        <is>
          <t>Index</t>
        </is>
      </c>
      <c r="B4" s="7" t="inlineStr">
        <is>
          <t>theta component</t>
        </is>
      </c>
      <c r="C4" s="7" t="inlineStr">
        <is>
          <t>Feature / role</t>
        </is>
      </c>
      <c r="D4" s="7" t="inlineStr">
        <is>
          <t>Optimized value</t>
        </is>
      </c>
      <c r="E4" s="7" t="inlineStr">
        <is>
          <t>0.5*w_j^2 contribution</t>
        </is>
      </c>
      <c r="F4" s="7" t="inlineStr">
        <is>
          <t>First derivative d(phi)/d(theta_j)</t>
        </is>
      </c>
      <c r="G4" s="7" t="inlineStr">
        <is>
          <t>Hessian diagonal</t>
        </is>
      </c>
    </row>
    <row r="5">
      <c r="A5" s="8" t="n">
        <v>1</v>
      </c>
      <c r="B5" s="8" t="inlineStr">
        <is>
          <t>w1</t>
        </is>
      </c>
      <c r="C5" s="8" t="inlineStr">
        <is>
          <t>PAC</t>
        </is>
      </c>
      <c r="D5" s="25" t="n">
        <v>0.335749059123806</v>
      </c>
      <c r="E5" s="23">
        <f>0.5*D5^2</f>
        <v/>
      </c>
      <c r="F5" s="23">
        <f>D5</f>
        <v/>
      </c>
      <c r="G5" s="23" t="n">
        <v>1</v>
      </c>
    </row>
    <row r="6">
      <c r="A6" s="9" t="n">
        <v>2</v>
      </c>
      <c r="B6" s="9" t="inlineStr">
        <is>
          <t>w2</t>
        </is>
      </c>
      <c r="C6" s="9" t="inlineStr">
        <is>
          <t>PRA</t>
        </is>
      </c>
      <c r="D6" s="26" t="n">
        <v>-0.4193014060517128</v>
      </c>
      <c r="E6" s="24">
        <f>0.5*D6^2</f>
        <v/>
      </c>
      <c r="F6" s="24">
        <f>D6</f>
        <v/>
      </c>
      <c r="G6" s="24" t="n">
        <v>1</v>
      </c>
    </row>
    <row r="7">
      <c r="A7" s="8" t="n">
        <v>3</v>
      </c>
      <c r="B7" s="8" t="inlineStr">
        <is>
          <t>w3</t>
        </is>
      </c>
      <c r="C7" s="8" t="inlineStr">
        <is>
          <t>Potassium</t>
        </is>
      </c>
      <c r="D7" s="25" t="n">
        <v>-0.650844620479034</v>
      </c>
      <c r="E7" s="23">
        <f>0.5*D7^2</f>
        <v/>
      </c>
      <c r="F7" s="23">
        <f>D7</f>
        <v/>
      </c>
      <c r="G7" s="23" t="n">
        <v>1</v>
      </c>
    </row>
    <row r="8">
      <c r="A8" s="9" t="n">
        <v>4</v>
      </c>
      <c r="B8" s="9" t="inlineStr">
        <is>
          <t>w4</t>
        </is>
      </c>
      <c r="C8" s="9" t="inlineStr">
        <is>
          <t>Tumor size</t>
        </is>
      </c>
      <c r="D8" s="26" t="n">
        <v>0.08323133613859927</v>
      </c>
      <c r="E8" s="24">
        <f>0.5*D8^2</f>
        <v/>
      </c>
      <c r="F8" s="24">
        <f>D8</f>
        <v/>
      </c>
      <c r="G8" s="24" t="n">
        <v>1</v>
      </c>
    </row>
    <row r="9">
      <c r="A9" s="8" t="n">
        <v>5</v>
      </c>
      <c r="B9" s="8" t="inlineStr">
        <is>
          <t>w5</t>
        </is>
      </c>
      <c r="C9" s="8" t="inlineStr">
        <is>
          <t>18-OHF</t>
        </is>
      </c>
      <c r="D9" s="25" t="n">
        <v>-0.09888541078785501</v>
      </c>
      <c r="E9" s="23">
        <f>0.5*D9^2</f>
        <v/>
      </c>
      <c r="F9" s="23">
        <f>D9</f>
        <v/>
      </c>
      <c r="G9" s="23" t="n">
        <v>1</v>
      </c>
    </row>
    <row r="10">
      <c r="A10" s="9" t="n">
        <v>6</v>
      </c>
      <c r="B10" s="9" t="inlineStr">
        <is>
          <t>w6</t>
        </is>
      </c>
      <c r="C10" s="9" t="inlineStr">
        <is>
          <t>18-oxoF</t>
        </is>
      </c>
      <c r="D10" s="26" t="n">
        <v>0.1556908624718692</v>
      </c>
      <c r="E10" s="24">
        <f>0.5*D10^2</f>
        <v/>
      </c>
      <c r="F10" s="24">
        <f>D10</f>
        <v/>
      </c>
      <c r="G10" s="24" t="n">
        <v>1</v>
      </c>
    </row>
    <row r="11">
      <c r="A11" s="8" t="n">
        <v>7</v>
      </c>
      <c r="B11" s="8" t="inlineStr">
        <is>
          <t>w7</t>
        </is>
      </c>
      <c r="C11" s="8" t="inlineStr">
        <is>
          <t>Systolic BP</t>
        </is>
      </c>
      <c r="D11" s="25" t="n">
        <v>-0.1323155221656678</v>
      </c>
      <c r="E11" s="23">
        <f>0.5*D11^2</f>
        <v/>
      </c>
      <c r="F11" s="23">
        <f>D11</f>
        <v/>
      </c>
      <c r="G11" s="23" t="n">
        <v>1</v>
      </c>
    </row>
    <row r="12">
      <c r="A12" s="9" t="n">
        <v>8</v>
      </c>
      <c r="B12" s="9" t="inlineStr">
        <is>
          <t>w8</t>
        </is>
      </c>
      <c r="C12" s="9" t="inlineStr">
        <is>
          <t>Diastolic BP</t>
        </is>
      </c>
      <c r="D12" s="26" t="n">
        <v>0.3929380864093681</v>
      </c>
      <c r="E12" s="24">
        <f>0.5*D12^2</f>
        <v/>
      </c>
      <c r="F12" s="24">
        <f>D12</f>
        <v/>
      </c>
      <c r="G12" s="24" t="n">
        <v>1</v>
      </c>
    </row>
    <row r="13">
      <c r="A13" s="8" t="n">
        <v>9</v>
      </c>
      <c r="B13" s="8" t="inlineStr">
        <is>
          <t>w9</t>
        </is>
      </c>
      <c r="C13" s="8" t="inlineStr">
        <is>
          <t>DDD</t>
        </is>
      </c>
      <c r="D13" s="25" t="n">
        <v>-0.7457325728130142</v>
      </c>
      <c r="E13" s="23">
        <f>0.5*D13^2</f>
        <v/>
      </c>
      <c r="F13" s="23">
        <f>D13</f>
        <v/>
      </c>
      <c r="G13" s="23" t="n">
        <v>1</v>
      </c>
    </row>
    <row r="14">
      <c r="A14" s="9" t="n">
        <v>10</v>
      </c>
      <c r="B14" s="9" t="inlineStr">
        <is>
          <t>w10</t>
        </is>
      </c>
      <c r="C14" s="9" t="inlineStr">
        <is>
          <t>Age</t>
        </is>
      </c>
      <c r="D14" s="26" t="n">
        <v>0.6351324328498228</v>
      </c>
      <c r="E14" s="24">
        <f>0.5*D14^2</f>
        <v/>
      </c>
      <c r="F14" s="24">
        <f>D14</f>
        <v/>
      </c>
      <c r="G14" s="24" t="n">
        <v>1</v>
      </c>
    </row>
    <row r="15">
      <c r="A15" s="8" t="n">
        <v>11</v>
      </c>
      <c r="B15" s="8" t="inlineStr">
        <is>
          <t>b</t>
        </is>
      </c>
      <c r="C15" s="8" t="inlineStr">
        <is>
          <t>Intercept b</t>
        </is>
      </c>
      <c r="D15" s="25" t="n">
        <v>0.2870509689582202</v>
      </c>
      <c r="E15" s="23">
        <f>0</f>
        <v/>
      </c>
      <c r="F15" s="23">
        <f>0</f>
        <v/>
      </c>
      <c r="G15" s="23" t="n">
        <v>0</v>
      </c>
    </row>
    <row r="16"/>
    <row r="17"/>
    <row r="18" ht="22" customHeight="1">
      <c r="A18" s="3" t="inlineStr">
        <is>
          <t>Objective and margin summary</t>
        </is>
      </c>
    </row>
    <row r="19">
      <c r="A19" s="27" t="inlineStr">
        <is>
          <t>Primal objective phi(theta) = 0.5||w||^2</t>
        </is>
      </c>
      <c r="B19" s="28">
        <f>SUM(E5:E15)</f>
        <v/>
      </c>
      <c r="C19" s="29" t="inlineStr">
        <is>
          <t>Minimized value</t>
        </is>
      </c>
    </row>
    <row r="20">
      <c r="A20" s="27" t="inlineStr">
        <is>
          <t>||w||</t>
        </is>
      </c>
      <c r="B20" s="28">
        <f>SQRT(SUMSQ(D5:D14))</f>
        <v/>
      </c>
      <c r="C20" s="29" t="inlineStr">
        <is>
          <t>Normal-vector length</t>
        </is>
      </c>
    </row>
    <row r="21">
      <c r="A21" s="27" t="inlineStr">
        <is>
          <t>Boundary-to-support distance = 1/||w||</t>
        </is>
      </c>
      <c r="B21" s="28">
        <f>1/B20</f>
        <v/>
      </c>
      <c r="C21" s="29" t="inlineStr">
        <is>
          <t>One side of margin</t>
        </is>
      </c>
    </row>
    <row r="22">
      <c r="A22" s="27" t="inlineStr">
        <is>
          <t>Full margin width = 2/||w||</t>
        </is>
      </c>
      <c r="B22" s="28">
        <f>2/B20</f>
        <v/>
      </c>
      <c r="C22" s="29" t="inlineStr">
        <is>
          <t>Distance between score -1 and +1</t>
        </is>
      </c>
    </row>
    <row r="23">
      <c r="A23" s="27" t="inlineStr">
        <is>
          <t>Intercept b</t>
        </is>
      </c>
      <c r="B23" s="28">
        <f>D15</f>
        <v/>
      </c>
      <c r="C23" s="29" t="inlineStr">
        <is>
          <t>Not penalized in the objective</t>
        </is>
      </c>
    </row>
    <row r="24">
      <c r="A24" s="27" t="inlineStr">
        <is>
          <t>10-row solver status</t>
        </is>
      </c>
      <c r="B24" s="28" t="inlineStr">
        <is>
          <t>Optimal and feasible</t>
        </is>
      </c>
      <c r="C24" s="29" t="inlineStr">
        <is>
          <t>Teaching subsystem only</t>
        </is>
      </c>
    </row>
    <row r="25"/>
    <row r="26"/>
    <row r="27" ht="22" customHeight="1">
      <c r="A27" s="3" t="inlineStr">
        <is>
          <t>Full second-derivative matrix Q = diag(I_10, 0)</t>
        </is>
      </c>
    </row>
    <row r="28" ht="38" customHeight="1">
      <c r="A28" s="7" t="inlineStr">
        <is>
          <t>d2(phi)</t>
        </is>
      </c>
      <c r="B28" s="7" t="inlineStr">
        <is>
          <t>w1</t>
        </is>
      </c>
      <c r="C28" s="7" t="inlineStr">
        <is>
          <t>w2</t>
        </is>
      </c>
      <c r="D28" s="7" t="inlineStr">
        <is>
          <t>w3</t>
        </is>
      </c>
      <c r="E28" s="7" t="inlineStr">
        <is>
          <t>w4</t>
        </is>
      </c>
      <c r="F28" s="7" t="inlineStr">
        <is>
          <t>w5</t>
        </is>
      </c>
      <c r="G28" s="7" t="inlineStr">
        <is>
          <t>w6</t>
        </is>
      </c>
      <c r="H28" s="7" t="inlineStr">
        <is>
          <t>w7</t>
        </is>
      </c>
      <c r="I28" s="7" t="inlineStr">
        <is>
          <t>w8</t>
        </is>
      </c>
      <c r="J28" s="7" t="inlineStr">
        <is>
          <t>w9</t>
        </is>
      </c>
      <c r="K28" s="7" t="inlineStr">
        <is>
          <t>w10</t>
        </is>
      </c>
      <c r="L28" s="7" t="inlineStr">
        <is>
          <t>b</t>
        </is>
      </c>
    </row>
    <row r="29">
      <c r="A29" s="30" t="inlineStr">
        <is>
          <t>w1</t>
        </is>
      </c>
      <c r="B29" s="31" t="n">
        <v>1</v>
      </c>
      <c r="C29" s="32" t="n">
        <v>0</v>
      </c>
      <c r="D29" s="32" t="n">
        <v>0</v>
      </c>
      <c r="E29" s="32" t="n">
        <v>0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</row>
    <row r="30">
      <c r="A30" s="30" t="inlineStr">
        <is>
          <t>w2</t>
        </is>
      </c>
      <c r="B30" s="32" t="n">
        <v>0</v>
      </c>
      <c r="C30" s="31" t="n">
        <v>1</v>
      </c>
      <c r="D30" s="32" t="n">
        <v>0</v>
      </c>
      <c r="E30" s="32" t="n">
        <v>0</v>
      </c>
      <c r="F30" s="32" t="n">
        <v>0</v>
      </c>
      <c r="G30" s="32" t="n">
        <v>0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</row>
    <row r="31">
      <c r="A31" s="30" t="inlineStr">
        <is>
          <t>w3</t>
        </is>
      </c>
      <c r="B31" s="32" t="n">
        <v>0</v>
      </c>
      <c r="C31" s="32" t="n">
        <v>0</v>
      </c>
      <c r="D31" s="31" t="n">
        <v>1</v>
      </c>
      <c r="E31" s="32" t="n">
        <v>0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</row>
    <row r="32">
      <c r="A32" s="30" t="inlineStr">
        <is>
          <t>w4</t>
        </is>
      </c>
      <c r="B32" s="32" t="n">
        <v>0</v>
      </c>
      <c r="C32" s="32" t="n">
        <v>0</v>
      </c>
      <c r="D32" s="32" t="n">
        <v>0</v>
      </c>
      <c r="E32" s="31" t="n">
        <v>1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</row>
    <row r="33">
      <c r="A33" s="30" t="inlineStr">
        <is>
          <t>w5</t>
        </is>
      </c>
      <c r="B33" s="32" t="n">
        <v>0</v>
      </c>
      <c r="C33" s="32" t="n">
        <v>0</v>
      </c>
      <c r="D33" s="32" t="n">
        <v>0</v>
      </c>
      <c r="E33" s="32" t="n">
        <v>0</v>
      </c>
      <c r="F33" s="31" t="n">
        <v>1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</row>
    <row r="34">
      <c r="A34" s="30" t="inlineStr">
        <is>
          <t>w6</t>
        </is>
      </c>
      <c r="B34" s="32" t="n">
        <v>0</v>
      </c>
      <c r="C34" s="32" t="n">
        <v>0</v>
      </c>
      <c r="D34" s="32" t="n">
        <v>0</v>
      </c>
      <c r="E34" s="32" t="n">
        <v>0</v>
      </c>
      <c r="F34" s="32" t="n">
        <v>0</v>
      </c>
      <c r="G34" s="31" t="n">
        <v>1</v>
      </c>
      <c r="H34" s="32" t="n">
        <v>0</v>
      </c>
      <c r="I34" s="32" t="n">
        <v>0</v>
      </c>
      <c r="J34" s="32" t="n">
        <v>0</v>
      </c>
      <c r="K34" s="32" t="n">
        <v>0</v>
      </c>
      <c r="L34" s="32" t="n">
        <v>0</v>
      </c>
    </row>
    <row r="35">
      <c r="A35" s="30" t="inlineStr">
        <is>
          <t>w7</t>
        </is>
      </c>
      <c r="B35" s="32" t="n">
        <v>0</v>
      </c>
      <c r="C35" s="32" t="n">
        <v>0</v>
      </c>
      <c r="D35" s="32" t="n">
        <v>0</v>
      </c>
      <c r="E35" s="32" t="n">
        <v>0</v>
      </c>
      <c r="F35" s="32" t="n">
        <v>0</v>
      </c>
      <c r="G35" s="32" t="n">
        <v>0</v>
      </c>
      <c r="H35" s="31" t="n">
        <v>1</v>
      </c>
      <c r="I35" s="32" t="n">
        <v>0</v>
      </c>
      <c r="J35" s="32" t="n">
        <v>0</v>
      </c>
      <c r="K35" s="32" t="n">
        <v>0</v>
      </c>
      <c r="L35" s="32" t="n">
        <v>0</v>
      </c>
    </row>
    <row r="36">
      <c r="A36" s="30" t="inlineStr">
        <is>
          <t>w8</t>
        </is>
      </c>
      <c r="B36" s="32" t="n">
        <v>0</v>
      </c>
      <c r="C36" s="32" t="n">
        <v>0</v>
      </c>
      <c r="D36" s="32" t="n">
        <v>0</v>
      </c>
      <c r="E36" s="32" t="n">
        <v>0</v>
      </c>
      <c r="F36" s="32" t="n">
        <v>0</v>
      </c>
      <c r="G36" s="32" t="n">
        <v>0</v>
      </c>
      <c r="H36" s="32" t="n">
        <v>0</v>
      </c>
      <c r="I36" s="31" t="n">
        <v>1</v>
      </c>
      <c r="J36" s="32" t="n">
        <v>0</v>
      </c>
      <c r="K36" s="32" t="n">
        <v>0</v>
      </c>
      <c r="L36" s="32" t="n">
        <v>0</v>
      </c>
    </row>
    <row r="37">
      <c r="A37" s="30" t="inlineStr">
        <is>
          <t>w9</t>
        </is>
      </c>
      <c r="B37" s="32" t="n">
        <v>0</v>
      </c>
      <c r="C37" s="32" t="n">
        <v>0</v>
      </c>
      <c r="D37" s="32" t="n">
        <v>0</v>
      </c>
      <c r="E37" s="32" t="n">
        <v>0</v>
      </c>
      <c r="F37" s="32" t="n">
        <v>0</v>
      </c>
      <c r="G37" s="32" t="n">
        <v>0</v>
      </c>
      <c r="H37" s="32" t="n">
        <v>0</v>
      </c>
      <c r="I37" s="32" t="n">
        <v>0</v>
      </c>
      <c r="J37" s="31" t="n">
        <v>1</v>
      </c>
      <c r="K37" s="32" t="n">
        <v>0</v>
      </c>
      <c r="L37" s="32" t="n">
        <v>0</v>
      </c>
    </row>
    <row r="38">
      <c r="A38" s="30" t="inlineStr">
        <is>
          <t>w10</t>
        </is>
      </c>
      <c r="B38" s="32" t="n">
        <v>0</v>
      </c>
      <c r="C38" s="32" t="n">
        <v>0</v>
      </c>
      <c r="D38" s="32" t="n">
        <v>0</v>
      </c>
      <c r="E38" s="32" t="n">
        <v>0</v>
      </c>
      <c r="F38" s="32" t="n">
        <v>0</v>
      </c>
      <c r="G38" s="32" t="n">
        <v>0</v>
      </c>
      <c r="H38" s="32" t="n">
        <v>0</v>
      </c>
      <c r="I38" s="32" t="n">
        <v>0</v>
      </c>
      <c r="J38" s="32" t="n">
        <v>0</v>
      </c>
      <c r="K38" s="31" t="n">
        <v>1</v>
      </c>
      <c r="L38" s="32" t="n">
        <v>0</v>
      </c>
    </row>
    <row r="39">
      <c r="A39" s="30" t="inlineStr">
        <is>
          <t>b</t>
        </is>
      </c>
      <c r="B39" s="32" t="n">
        <v>0</v>
      </c>
      <c r="C39" s="32" t="n">
        <v>0</v>
      </c>
      <c r="D39" s="32" t="n">
        <v>0</v>
      </c>
      <c r="E39" s="32" t="n">
        <v>0</v>
      </c>
      <c r="F39" s="32" t="n">
        <v>0</v>
      </c>
      <c r="G39" s="32" t="n">
        <v>0</v>
      </c>
      <c r="H39" s="32" t="n">
        <v>0</v>
      </c>
      <c r="I39" s="32" t="n">
        <v>0</v>
      </c>
      <c r="J39" s="32" t="n">
        <v>0</v>
      </c>
      <c r="K39" s="32" t="n">
        <v>0</v>
      </c>
      <c r="L39" s="32" t="n">
        <v>0</v>
      </c>
    </row>
    <row r="40"/>
    <row r="41" ht="34" customHeight="1">
      <c r="A41" s="13" t="inlineStr">
        <is>
          <t>The intercept row and column are zero because b is not part of 0.5||w||^2. For every affine constraint g_i=1-u_i^T theta, the entire second derivative is zero.</t>
        </is>
      </c>
    </row>
  </sheetData>
  <mergeCells count="5">
    <mergeCell ref="A1:M1"/>
    <mergeCell ref="A18:G18"/>
    <mergeCell ref="A27:M27"/>
    <mergeCell ref="A41:M41"/>
    <mergeCell ref="A2:M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4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4" customWidth="1" min="16" max="16"/>
    <col width="15" customWidth="1" min="17" max="17"/>
    <col width="14" customWidth="1" min="18" max="18"/>
    <col width="12" customWidth="1" min="19" max="19"/>
    <col width="18" customWidth="1" min="20" max="20"/>
    <col width="14" customWidth="1" min="21" max="21"/>
    <col width="15" customWidth="1" min="22" max="22"/>
    <col width="12" customWidth="1" min="23" max="23"/>
    <col width="12" customWidth="1" min="24" max="24"/>
  </cols>
  <sheetData>
    <row r="1" ht="28" customHeight="1">
      <c r="A1" s="1" t="inlineStr">
        <is>
          <t>Step 5 - Row-by-row U theta &gt;= 1 calculation</t>
        </is>
      </c>
    </row>
    <row r="2" ht="38" customHeight="1">
      <c r="A2" s="33" t="inlineStr">
        <is>
          <t>For row i: u_i = t_i[x_i,1]. The scalar u_i^T theta equals t_i*s_i and must be &gt;= 1. This is the correct interpretation, not 'U_i &gt; 1'.</t>
        </is>
      </c>
    </row>
    <row r="3">
      <c r="A3" s="22" t="inlineStr">
        <is>
          <t>Constraint function g_i(theta)=1-u_i^T theta must be &lt;= 0. Its first derivative is -u_i; its second derivative is the zero matrix.</t>
        </is>
      </c>
    </row>
    <row r="4"/>
    <row r="5" ht="38" customHeight="1">
      <c r="A5" s="7" t="inlineStr">
        <is>
          <t>i</t>
        </is>
      </c>
      <c r="B5" s="7" t="inlineStr">
        <is>
          <t>PatientID</t>
        </is>
      </c>
      <c r="C5" s="7" t="inlineStr">
        <is>
          <t>Class y_i</t>
        </is>
      </c>
      <c r="D5" s="7" t="inlineStr">
        <is>
          <t>t_i</t>
        </is>
      </c>
      <c r="E5" s="7" t="inlineStr">
        <is>
          <t>u_PAC</t>
        </is>
      </c>
      <c r="F5" s="7" t="inlineStr">
        <is>
          <t>u_PRA</t>
        </is>
      </c>
      <c r="G5" s="7" t="inlineStr">
        <is>
          <t>u_Potassium</t>
        </is>
      </c>
      <c r="H5" s="7" t="inlineStr">
        <is>
          <t>u_Tumor size</t>
        </is>
      </c>
      <c r="I5" s="7" t="inlineStr">
        <is>
          <t>u_18-OHF</t>
        </is>
      </c>
      <c r="J5" s="7" t="inlineStr">
        <is>
          <t>u_18-oxoF</t>
        </is>
      </c>
      <c r="K5" s="7" t="inlineStr">
        <is>
          <t>u_Systolic BP</t>
        </is>
      </c>
      <c r="L5" s="7" t="inlineStr">
        <is>
          <t>u_Diastolic BP</t>
        </is>
      </c>
      <c r="M5" s="7" t="inlineStr">
        <is>
          <t>u_DDD</t>
        </is>
      </c>
      <c r="N5" s="7" t="inlineStr">
        <is>
          <t>u_Age</t>
        </is>
      </c>
      <c r="O5" s="7" t="inlineStr">
        <is>
          <t>u_b=t_i</t>
        </is>
      </c>
      <c r="P5" s="7" t="inlineStr">
        <is>
          <t>Score s_i</t>
        </is>
      </c>
      <c r="Q5" s="7" t="inlineStr">
        <is>
          <t>u_i^T theta</t>
        </is>
      </c>
      <c r="R5" s="7" t="inlineStr">
        <is>
          <t>t_i*s_i</t>
        </is>
      </c>
      <c r="S5" s="7" t="inlineStr">
        <is>
          <t>Identity</t>
        </is>
      </c>
      <c r="T5" s="7" t="inlineStr">
        <is>
          <t>g_i=1-u_i^T theta</t>
        </is>
      </c>
      <c r="U5" s="7" t="inlineStr">
        <is>
          <t>Constraint</t>
        </is>
      </c>
      <c r="V5" s="7" t="inlineStr">
        <is>
          <t>Support vector</t>
        </is>
      </c>
      <c r="W5" s="7" t="inlineStr">
        <is>
          <t>Predicted t</t>
        </is>
      </c>
      <c r="X5" s="7" t="inlineStr">
        <is>
          <t>Correct?</t>
        </is>
      </c>
    </row>
    <row r="6">
      <c r="A6" s="9">
        <f>'X_Standardized'!A5</f>
        <v/>
      </c>
      <c r="B6" s="9">
        <f>'X_Standardized'!B5</f>
        <v/>
      </c>
      <c r="C6" s="9">
        <f>'X_Standardized'!C5</f>
        <v/>
      </c>
      <c r="D6" s="14">
        <f>'X_Standardized'!D5</f>
        <v/>
      </c>
      <c r="E6" s="18">
        <f>$D6*'X_Standardized'!E5</f>
        <v/>
      </c>
      <c r="F6" s="18">
        <f>$D6*'X_Standardized'!F5</f>
        <v/>
      </c>
      <c r="G6" s="18">
        <f>$D6*'X_Standardized'!G5</f>
        <v/>
      </c>
      <c r="H6" s="18">
        <f>$D6*'X_Standardized'!H5</f>
        <v/>
      </c>
      <c r="I6" s="18">
        <f>$D6*'X_Standardized'!I5</f>
        <v/>
      </c>
      <c r="J6" s="18">
        <f>$D6*'X_Standardized'!J5</f>
        <v/>
      </c>
      <c r="K6" s="18">
        <f>$D6*'X_Standardized'!K5</f>
        <v/>
      </c>
      <c r="L6" s="18">
        <f>$D6*'X_Standardized'!L5</f>
        <v/>
      </c>
      <c r="M6" s="18">
        <f>$D6*'X_Standardized'!M5</f>
        <v/>
      </c>
      <c r="N6" s="18">
        <f>$D6*'X_Standardized'!N5</f>
        <v/>
      </c>
      <c r="O6" s="9">
        <f>$D6</f>
        <v/>
      </c>
      <c r="P6" s="24">
        <f>SUMPRODUCT('X_Standardized'!E5:N5,'Theta_Derivatives'!$D$5:$D$14)+'Theta_Derivatives'!$D$15</f>
        <v/>
      </c>
      <c r="Q6" s="34">
        <f>SUMPRODUCT(E6:O6,'Theta_Derivatives'!$D$5:$D$15)</f>
        <v/>
      </c>
      <c r="R6" s="24">
        <f>$D6*$P6</f>
        <v/>
      </c>
      <c r="S6" s="9">
        <f>IF(ABS($Q6-$R6)&lt;=1E-8,"OK","ERROR")</f>
        <v/>
      </c>
      <c r="T6" s="24">
        <f>1-$Q6</f>
        <v/>
      </c>
      <c r="U6" s="35">
        <f>IF($T6&lt;=1E-8,"Satisfied","Violated")</f>
        <v/>
      </c>
      <c r="V6" s="9">
        <f>IF(ABS($T6)&lt;=1E-5,"Yes","No")</f>
        <v/>
      </c>
      <c r="W6" s="9">
        <f>IF($P6&gt;=0,1,-1)</f>
        <v/>
      </c>
      <c r="X6" s="9">
        <f>IF($W6=$D6,"Correct","Wrong")</f>
        <v/>
      </c>
    </row>
    <row r="7">
      <c r="A7" s="8">
        <f>'X_Standardized'!A6</f>
        <v/>
      </c>
      <c r="B7" s="8">
        <f>'X_Standardized'!B6</f>
        <v/>
      </c>
      <c r="C7" s="8">
        <f>'X_Standardized'!C6</f>
        <v/>
      </c>
      <c r="D7" s="14">
        <f>'X_Standardized'!D6</f>
        <v/>
      </c>
      <c r="E7" s="17">
        <f>$D7*'X_Standardized'!E6</f>
        <v/>
      </c>
      <c r="F7" s="17">
        <f>$D7*'X_Standardized'!F6</f>
        <v/>
      </c>
      <c r="G7" s="17">
        <f>$D7*'X_Standardized'!G6</f>
        <v/>
      </c>
      <c r="H7" s="17">
        <f>$D7*'X_Standardized'!H6</f>
        <v/>
      </c>
      <c r="I7" s="17">
        <f>$D7*'X_Standardized'!I6</f>
        <v/>
      </c>
      <c r="J7" s="17">
        <f>$D7*'X_Standardized'!J6</f>
        <v/>
      </c>
      <c r="K7" s="17">
        <f>$D7*'X_Standardized'!K6</f>
        <v/>
      </c>
      <c r="L7" s="17">
        <f>$D7*'X_Standardized'!L6</f>
        <v/>
      </c>
      <c r="M7" s="17">
        <f>$D7*'X_Standardized'!M6</f>
        <v/>
      </c>
      <c r="N7" s="17">
        <f>$D7*'X_Standardized'!N6</f>
        <v/>
      </c>
      <c r="O7" s="8">
        <f>$D7</f>
        <v/>
      </c>
      <c r="P7" s="23">
        <f>SUMPRODUCT('X_Standardized'!E6:N6,'Theta_Derivatives'!$D$5:$D$14)+'Theta_Derivatives'!$D$15</f>
        <v/>
      </c>
      <c r="Q7" s="34">
        <f>SUMPRODUCT(E7:O7,'Theta_Derivatives'!$D$5:$D$15)</f>
        <v/>
      </c>
      <c r="R7" s="23">
        <f>$D7*$P7</f>
        <v/>
      </c>
      <c r="S7" s="8">
        <f>IF(ABS($Q7-$R7)&lt;=1E-8,"OK","ERROR")</f>
        <v/>
      </c>
      <c r="T7" s="23">
        <f>1-$Q7</f>
        <v/>
      </c>
      <c r="U7" s="35">
        <f>IF($T7&lt;=1E-8,"Satisfied","Violated")</f>
        <v/>
      </c>
      <c r="V7" s="8">
        <f>IF(ABS($T7)&lt;=1E-5,"Yes","No")</f>
        <v/>
      </c>
      <c r="W7" s="8">
        <f>IF($P7&gt;=0,1,-1)</f>
        <v/>
      </c>
      <c r="X7" s="8">
        <f>IF($W7=$D7,"Correct","Wrong")</f>
        <v/>
      </c>
    </row>
    <row r="8">
      <c r="A8" s="9">
        <f>'X_Standardized'!A7</f>
        <v/>
      </c>
      <c r="B8" s="9">
        <f>'X_Standardized'!B7</f>
        <v/>
      </c>
      <c r="C8" s="9">
        <f>'X_Standardized'!C7</f>
        <v/>
      </c>
      <c r="D8" s="14">
        <f>'X_Standardized'!D7</f>
        <v/>
      </c>
      <c r="E8" s="18">
        <f>$D8*'X_Standardized'!E7</f>
        <v/>
      </c>
      <c r="F8" s="18">
        <f>$D8*'X_Standardized'!F7</f>
        <v/>
      </c>
      <c r="G8" s="18">
        <f>$D8*'X_Standardized'!G7</f>
        <v/>
      </c>
      <c r="H8" s="18">
        <f>$D8*'X_Standardized'!H7</f>
        <v/>
      </c>
      <c r="I8" s="18">
        <f>$D8*'X_Standardized'!I7</f>
        <v/>
      </c>
      <c r="J8" s="18">
        <f>$D8*'X_Standardized'!J7</f>
        <v/>
      </c>
      <c r="K8" s="18">
        <f>$D8*'X_Standardized'!K7</f>
        <v/>
      </c>
      <c r="L8" s="18">
        <f>$D8*'X_Standardized'!L7</f>
        <v/>
      </c>
      <c r="M8" s="18">
        <f>$D8*'X_Standardized'!M7</f>
        <v/>
      </c>
      <c r="N8" s="18">
        <f>$D8*'X_Standardized'!N7</f>
        <v/>
      </c>
      <c r="O8" s="9">
        <f>$D8</f>
        <v/>
      </c>
      <c r="P8" s="24">
        <f>SUMPRODUCT('X_Standardized'!E7:N7,'Theta_Derivatives'!$D$5:$D$14)+'Theta_Derivatives'!$D$15</f>
        <v/>
      </c>
      <c r="Q8" s="34">
        <f>SUMPRODUCT(E8:O8,'Theta_Derivatives'!$D$5:$D$15)</f>
        <v/>
      </c>
      <c r="R8" s="24">
        <f>$D8*$P8</f>
        <v/>
      </c>
      <c r="S8" s="9">
        <f>IF(ABS($Q8-$R8)&lt;=1E-8,"OK","ERROR")</f>
        <v/>
      </c>
      <c r="T8" s="24">
        <f>1-$Q8</f>
        <v/>
      </c>
      <c r="U8" s="35">
        <f>IF($T8&lt;=1E-8,"Satisfied","Violated")</f>
        <v/>
      </c>
      <c r="V8" s="9">
        <f>IF(ABS($T8)&lt;=1E-5,"Yes","No")</f>
        <v/>
      </c>
      <c r="W8" s="9">
        <f>IF($P8&gt;=0,1,-1)</f>
        <v/>
      </c>
      <c r="X8" s="9">
        <f>IF($W8=$D8,"Correct","Wrong")</f>
        <v/>
      </c>
    </row>
    <row r="9">
      <c r="A9" s="8">
        <f>'X_Standardized'!A8</f>
        <v/>
      </c>
      <c r="B9" s="8">
        <f>'X_Standardized'!B8</f>
        <v/>
      </c>
      <c r="C9" s="8">
        <f>'X_Standardized'!C8</f>
        <v/>
      </c>
      <c r="D9" s="14">
        <f>'X_Standardized'!D8</f>
        <v/>
      </c>
      <c r="E9" s="17">
        <f>$D9*'X_Standardized'!E8</f>
        <v/>
      </c>
      <c r="F9" s="17">
        <f>$D9*'X_Standardized'!F8</f>
        <v/>
      </c>
      <c r="G9" s="17">
        <f>$D9*'X_Standardized'!G8</f>
        <v/>
      </c>
      <c r="H9" s="17">
        <f>$D9*'X_Standardized'!H8</f>
        <v/>
      </c>
      <c r="I9" s="17">
        <f>$D9*'X_Standardized'!I8</f>
        <v/>
      </c>
      <c r="J9" s="17">
        <f>$D9*'X_Standardized'!J8</f>
        <v/>
      </c>
      <c r="K9" s="17">
        <f>$D9*'X_Standardized'!K8</f>
        <v/>
      </c>
      <c r="L9" s="17">
        <f>$D9*'X_Standardized'!L8</f>
        <v/>
      </c>
      <c r="M9" s="17">
        <f>$D9*'X_Standardized'!M8</f>
        <v/>
      </c>
      <c r="N9" s="17">
        <f>$D9*'X_Standardized'!N8</f>
        <v/>
      </c>
      <c r="O9" s="8">
        <f>$D9</f>
        <v/>
      </c>
      <c r="P9" s="23">
        <f>SUMPRODUCT('X_Standardized'!E8:N8,'Theta_Derivatives'!$D$5:$D$14)+'Theta_Derivatives'!$D$15</f>
        <v/>
      </c>
      <c r="Q9" s="34">
        <f>SUMPRODUCT(E9:O9,'Theta_Derivatives'!$D$5:$D$15)</f>
        <v/>
      </c>
      <c r="R9" s="23">
        <f>$D9*$P9</f>
        <v/>
      </c>
      <c r="S9" s="8">
        <f>IF(ABS($Q9-$R9)&lt;=1E-8,"OK","ERROR")</f>
        <v/>
      </c>
      <c r="T9" s="23">
        <f>1-$Q9</f>
        <v/>
      </c>
      <c r="U9" s="35">
        <f>IF($T9&lt;=1E-8,"Satisfied","Violated")</f>
        <v/>
      </c>
      <c r="V9" s="8">
        <f>IF(ABS($T9)&lt;=1E-5,"Yes","No")</f>
        <v/>
      </c>
      <c r="W9" s="8">
        <f>IF($P9&gt;=0,1,-1)</f>
        <v/>
      </c>
      <c r="X9" s="8">
        <f>IF($W9=$D9,"Correct","Wrong")</f>
        <v/>
      </c>
    </row>
    <row r="10">
      <c r="A10" s="9">
        <f>'X_Standardized'!A9</f>
        <v/>
      </c>
      <c r="B10" s="9">
        <f>'X_Standardized'!B9</f>
        <v/>
      </c>
      <c r="C10" s="9">
        <f>'X_Standardized'!C9</f>
        <v/>
      </c>
      <c r="D10" s="14">
        <f>'X_Standardized'!D9</f>
        <v/>
      </c>
      <c r="E10" s="18">
        <f>$D10*'X_Standardized'!E9</f>
        <v/>
      </c>
      <c r="F10" s="18">
        <f>$D10*'X_Standardized'!F9</f>
        <v/>
      </c>
      <c r="G10" s="18">
        <f>$D10*'X_Standardized'!G9</f>
        <v/>
      </c>
      <c r="H10" s="18">
        <f>$D10*'X_Standardized'!H9</f>
        <v/>
      </c>
      <c r="I10" s="18">
        <f>$D10*'X_Standardized'!I9</f>
        <v/>
      </c>
      <c r="J10" s="18">
        <f>$D10*'X_Standardized'!J9</f>
        <v/>
      </c>
      <c r="K10" s="18">
        <f>$D10*'X_Standardized'!K9</f>
        <v/>
      </c>
      <c r="L10" s="18">
        <f>$D10*'X_Standardized'!L9</f>
        <v/>
      </c>
      <c r="M10" s="18">
        <f>$D10*'X_Standardized'!M9</f>
        <v/>
      </c>
      <c r="N10" s="18">
        <f>$D10*'X_Standardized'!N9</f>
        <v/>
      </c>
      <c r="O10" s="9">
        <f>$D10</f>
        <v/>
      </c>
      <c r="P10" s="24">
        <f>SUMPRODUCT('X_Standardized'!E9:N9,'Theta_Derivatives'!$D$5:$D$14)+'Theta_Derivatives'!$D$15</f>
        <v/>
      </c>
      <c r="Q10" s="34">
        <f>SUMPRODUCT(E10:O10,'Theta_Derivatives'!$D$5:$D$15)</f>
        <v/>
      </c>
      <c r="R10" s="24">
        <f>$D10*$P10</f>
        <v/>
      </c>
      <c r="S10" s="9">
        <f>IF(ABS($Q10-$R10)&lt;=1E-8,"OK","ERROR")</f>
        <v/>
      </c>
      <c r="T10" s="24">
        <f>1-$Q10</f>
        <v/>
      </c>
      <c r="U10" s="35">
        <f>IF($T10&lt;=1E-8,"Satisfied","Violated")</f>
        <v/>
      </c>
      <c r="V10" s="9">
        <f>IF(ABS($T10)&lt;=1E-5,"Yes","No")</f>
        <v/>
      </c>
      <c r="W10" s="9">
        <f>IF($P10&gt;=0,1,-1)</f>
        <v/>
      </c>
      <c r="X10" s="9">
        <f>IF($W10=$D10,"Correct","Wrong")</f>
        <v/>
      </c>
    </row>
    <row r="11">
      <c r="A11" s="8">
        <f>'X_Standardized'!A10</f>
        <v/>
      </c>
      <c r="B11" s="8">
        <f>'X_Standardized'!B10</f>
        <v/>
      </c>
      <c r="C11" s="8">
        <f>'X_Standardized'!C10</f>
        <v/>
      </c>
      <c r="D11" s="14">
        <f>'X_Standardized'!D10</f>
        <v/>
      </c>
      <c r="E11" s="17">
        <f>$D11*'X_Standardized'!E10</f>
        <v/>
      </c>
      <c r="F11" s="17">
        <f>$D11*'X_Standardized'!F10</f>
        <v/>
      </c>
      <c r="G11" s="17">
        <f>$D11*'X_Standardized'!G10</f>
        <v/>
      </c>
      <c r="H11" s="17">
        <f>$D11*'X_Standardized'!H10</f>
        <v/>
      </c>
      <c r="I11" s="17">
        <f>$D11*'X_Standardized'!I10</f>
        <v/>
      </c>
      <c r="J11" s="17">
        <f>$D11*'X_Standardized'!J10</f>
        <v/>
      </c>
      <c r="K11" s="17">
        <f>$D11*'X_Standardized'!K10</f>
        <v/>
      </c>
      <c r="L11" s="17">
        <f>$D11*'X_Standardized'!L10</f>
        <v/>
      </c>
      <c r="M11" s="17">
        <f>$D11*'X_Standardized'!M10</f>
        <v/>
      </c>
      <c r="N11" s="17">
        <f>$D11*'X_Standardized'!N10</f>
        <v/>
      </c>
      <c r="O11" s="8">
        <f>$D11</f>
        <v/>
      </c>
      <c r="P11" s="23">
        <f>SUMPRODUCT('X_Standardized'!E10:N10,'Theta_Derivatives'!$D$5:$D$14)+'Theta_Derivatives'!$D$15</f>
        <v/>
      </c>
      <c r="Q11" s="34">
        <f>SUMPRODUCT(E11:O11,'Theta_Derivatives'!$D$5:$D$15)</f>
        <v/>
      </c>
      <c r="R11" s="23">
        <f>$D11*$P11</f>
        <v/>
      </c>
      <c r="S11" s="8">
        <f>IF(ABS($Q11-$R11)&lt;=1E-8,"OK","ERROR")</f>
        <v/>
      </c>
      <c r="T11" s="23">
        <f>1-$Q11</f>
        <v/>
      </c>
      <c r="U11" s="35">
        <f>IF($T11&lt;=1E-8,"Satisfied","Violated")</f>
        <v/>
      </c>
      <c r="V11" s="8">
        <f>IF(ABS($T11)&lt;=1E-5,"Yes","No")</f>
        <v/>
      </c>
      <c r="W11" s="8">
        <f>IF($P11&gt;=0,1,-1)</f>
        <v/>
      </c>
      <c r="X11" s="8">
        <f>IF($W11=$D11,"Correct","Wrong")</f>
        <v/>
      </c>
    </row>
    <row r="12">
      <c r="A12" s="9">
        <f>'X_Standardized'!A11</f>
        <v/>
      </c>
      <c r="B12" s="9">
        <f>'X_Standardized'!B11</f>
        <v/>
      </c>
      <c r="C12" s="9">
        <f>'X_Standardized'!C11</f>
        <v/>
      </c>
      <c r="D12" s="14">
        <f>'X_Standardized'!D11</f>
        <v/>
      </c>
      <c r="E12" s="18">
        <f>$D12*'X_Standardized'!E11</f>
        <v/>
      </c>
      <c r="F12" s="18">
        <f>$D12*'X_Standardized'!F11</f>
        <v/>
      </c>
      <c r="G12" s="18">
        <f>$D12*'X_Standardized'!G11</f>
        <v/>
      </c>
      <c r="H12" s="18">
        <f>$D12*'X_Standardized'!H11</f>
        <v/>
      </c>
      <c r="I12" s="18">
        <f>$D12*'X_Standardized'!I11</f>
        <v/>
      </c>
      <c r="J12" s="18">
        <f>$D12*'X_Standardized'!J11</f>
        <v/>
      </c>
      <c r="K12" s="18">
        <f>$D12*'X_Standardized'!K11</f>
        <v/>
      </c>
      <c r="L12" s="18">
        <f>$D12*'X_Standardized'!L11</f>
        <v/>
      </c>
      <c r="M12" s="18">
        <f>$D12*'X_Standardized'!M11</f>
        <v/>
      </c>
      <c r="N12" s="18">
        <f>$D12*'X_Standardized'!N11</f>
        <v/>
      </c>
      <c r="O12" s="9">
        <f>$D12</f>
        <v/>
      </c>
      <c r="P12" s="24">
        <f>SUMPRODUCT('X_Standardized'!E11:N11,'Theta_Derivatives'!$D$5:$D$14)+'Theta_Derivatives'!$D$15</f>
        <v/>
      </c>
      <c r="Q12" s="34">
        <f>SUMPRODUCT(E12:O12,'Theta_Derivatives'!$D$5:$D$15)</f>
        <v/>
      </c>
      <c r="R12" s="24">
        <f>$D12*$P12</f>
        <v/>
      </c>
      <c r="S12" s="9">
        <f>IF(ABS($Q12-$R12)&lt;=1E-8,"OK","ERROR")</f>
        <v/>
      </c>
      <c r="T12" s="24">
        <f>1-$Q12</f>
        <v/>
      </c>
      <c r="U12" s="35">
        <f>IF($T12&lt;=1E-8,"Satisfied","Violated")</f>
        <v/>
      </c>
      <c r="V12" s="9">
        <f>IF(ABS($T12)&lt;=1E-5,"Yes","No")</f>
        <v/>
      </c>
      <c r="W12" s="9">
        <f>IF($P12&gt;=0,1,-1)</f>
        <v/>
      </c>
      <c r="X12" s="9">
        <f>IF($W12=$D12,"Correct","Wrong")</f>
        <v/>
      </c>
    </row>
    <row r="13">
      <c r="A13" s="8">
        <f>'X_Standardized'!A12</f>
        <v/>
      </c>
      <c r="B13" s="8">
        <f>'X_Standardized'!B12</f>
        <v/>
      </c>
      <c r="C13" s="8">
        <f>'X_Standardized'!C12</f>
        <v/>
      </c>
      <c r="D13" s="14">
        <f>'X_Standardized'!D12</f>
        <v/>
      </c>
      <c r="E13" s="17">
        <f>$D13*'X_Standardized'!E12</f>
        <v/>
      </c>
      <c r="F13" s="17">
        <f>$D13*'X_Standardized'!F12</f>
        <v/>
      </c>
      <c r="G13" s="17">
        <f>$D13*'X_Standardized'!G12</f>
        <v/>
      </c>
      <c r="H13" s="17">
        <f>$D13*'X_Standardized'!H12</f>
        <v/>
      </c>
      <c r="I13" s="17">
        <f>$D13*'X_Standardized'!I12</f>
        <v/>
      </c>
      <c r="J13" s="17">
        <f>$D13*'X_Standardized'!J12</f>
        <v/>
      </c>
      <c r="K13" s="17">
        <f>$D13*'X_Standardized'!K12</f>
        <v/>
      </c>
      <c r="L13" s="17">
        <f>$D13*'X_Standardized'!L12</f>
        <v/>
      </c>
      <c r="M13" s="17">
        <f>$D13*'X_Standardized'!M12</f>
        <v/>
      </c>
      <c r="N13" s="17">
        <f>$D13*'X_Standardized'!N12</f>
        <v/>
      </c>
      <c r="O13" s="8">
        <f>$D13</f>
        <v/>
      </c>
      <c r="P13" s="23">
        <f>SUMPRODUCT('X_Standardized'!E12:N12,'Theta_Derivatives'!$D$5:$D$14)+'Theta_Derivatives'!$D$15</f>
        <v/>
      </c>
      <c r="Q13" s="34">
        <f>SUMPRODUCT(E13:O13,'Theta_Derivatives'!$D$5:$D$15)</f>
        <v/>
      </c>
      <c r="R13" s="23">
        <f>$D13*$P13</f>
        <v/>
      </c>
      <c r="S13" s="8">
        <f>IF(ABS($Q13-$R13)&lt;=1E-8,"OK","ERROR")</f>
        <v/>
      </c>
      <c r="T13" s="23">
        <f>1-$Q13</f>
        <v/>
      </c>
      <c r="U13" s="35">
        <f>IF($T13&lt;=1E-8,"Satisfied","Violated")</f>
        <v/>
      </c>
      <c r="V13" s="8">
        <f>IF(ABS($T13)&lt;=1E-5,"Yes","No")</f>
        <v/>
      </c>
      <c r="W13" s="8">
        <f>IF($P13&gt;=0,1,-1)</f>
        <v/>
      </c>
      <c r="X13" s="8">
        <f>IF($W13=$D13,"Correct","Wrong")</f>
        <v/>
      </c>
    </row>
    <row r="14">
      <c r="A14" s="9">
        <f>'X_Standardized'!A13</f>
        <v/>
      </c>
      <c r="B14" s="9">
        <f>'X_Standardized'!B13</f>
        <v/>
      </c>
      <c r="C14" s="9">
        <f>'X_Standardized'!C13</f>
        <v/>
      </c>
      <c r="D14" s="14">
        <f>'X_Standardized'!D13</f>
        <v/>
      </c>
      <c r="E14" s="18">
        <f>$D14*'X_Standardized'!E13</f>
        <v/>
      </c>
      <c r="F14" s="18">
        <f>$D14*'X_Standardized'!F13</f>
        <v/>
      </c>
      <c r="G14" s="18">
        <f>$D14*'X_Standardized'!G13</f>
        <v/>
      </c>
      <c r="H14" s="18">
        <f>$D14*'X_Standardized'!H13</f>
        <v/>
      </c>
      <c r="I14" s="18">
        <f>$D14*'X_Standardized'!I13</f>
        <v/>
      </c>
      <c r="J14" s="18">
        <f>$D14*'X_Standardized'!J13</f>
        <v/>
      </c>
      <c r="K14" s="18">
        <f>$D14*'X_Standardized'!K13</f>
        <v/>
      </c>
      <c r="L14" s="18">
        <f>$D14*'X_Standardized'!L13</f>
        <v/>
      </c>
      <c r="M14" s="18">
        <f>$D14*'X_Standardized'!M13</f>
        <v/>
      </c>
      <c r="N14" s="18">
        <f>$D14*'X_Standardized'!N13</f>
        <v/>
      </c>
      <c r="O14" s="9">
        <f>$D14</f>
        <v/>
      </c>
      <c r="P14" s="24">
        <f>SUMPRODUCT('X_Standardized'!E13:N13,'Theta_Derivatives'!$D$5:$D$14)+'Theta_Derivatives'!$D$15</f>
        <v/>
      </c>
      <c r="Q14" s="34">
        <f>SUMPRODUCT(E14:O14,'Theta_Derivatives'!$D$5:$D$15)</f>
        <v/>
      </c>
      <c r="R14" s="24">
        <f>$D14*$P14</f>
        <v/>
      </c>
      <c r="S14" s="9">
        <f>IF(ABS($Q14-$R14)&lt;=1E-8,"OK","ERROR")</f>
        <v/>
      </c>
      <c r="T14" s="24">
        <f>1-$Q14</f>
        <v/>
      </c>
      <c r="U14" s="35">
        <f>IF($T14&lt;=1E-8,"Satisfied","Violated")</f>
        <v/>
      </c>
      <c r="V14" s="9">
        <f>IF(ABS($T14)&lt;=1E-5,"Yes","No")</f>
        <v/>
      </c>
      <c r="W14" s="9">
        <f>IF($P14&gt;=0,1,-1)</f>
        <v/>
      </c>
      <c r="X14" s="9">
        <f>IF($W14=$D14,"Correct","Wrong")</f>
        <v/>
      </c>
    </row>
    <row r="15">
      <c r="A15" s="8">
        <f>'X_Standardized'!A14</f>
        <v/>
      </c>
      <c r="B15" s="8">
        <f>'X_Standardized'!B14</f>
        <v/>
      </c>
      <c r="C15" s="8">
        <f>'X_Standardized'!C14</f>
        <v/>
      </c>
      <c r="D15" s="14">
        <f>'X_Standardized'!D14</f>
        <v/>
      </c>
      <c r="E15" s="17">
        <f>$D15*'X_Standardized'!E14</f>
        <v/>
      </c>
      <c r="F15" s="17">
        <f>$D15*'X_Standardized'!F14</f>
        <v/>
      </c>
      <c r="G15" s="17">
        <f>$D15*'X_Standardized'!G14</f>
        <v/>
      </c>
      <c r="H15" s="17">
        <f>$D15*'X_Standardized'!H14</f>
        <v/>
      </c>
      <c r="I15" s="17">
        <f>$D15*'X_Standardized'!I14</f>
        <v/>
      </c>
      <c r="J15" s="17">
        <f>$D15*'X_Standardized'!J14</f>
        <v/>
      </c>
      <c r="K15" s="17">
        <f>$D15*'X_Standardized'!K14</f>
        <v/>
      </c>
      <c r="L15" s="17">
        <f>$D15*'X_Standardized'!L14</f>
        <v/>
      </c>
      <c r="M15" s="17">
        <f>$D15*'X_Standardized'!M14</f>
        <v/>
      </c>
      <c r="N15" s="17">
        <f>$D15*'X_Standardized'!N14</f>
        <v/>
      </c>
      <c r="O15" s="8">
        <f>$D15</f>
        <v/>
      </c>
      <c r="P15" s="23">
        <f>SUMPRODUCT('X_Standardized'!E14:N14,'Theta_Derivatives'!$D$5:$D$14)+'Theta_Derivatives'!$D$15</f>
        <v/>
      </c>
      <c r="Q15" s="34">
        <f>SUMPRODUCT(E15:O15,'Theta_Derivatives'!$D$5:$D$15)</f>
        <v/>
      </c>
      <c r="R15" s="23">
        <f>$D15*$P15</f>
        <v/>
      </c>
      <c r="S15" s="8">
        <f>IF(ABS($Q15-$R15)&lt;=1E-8,"OK","ERROR")</f>
        <v/>
      </c>
      <c r="T15" s="23">
        <f>1-$Q15</f>
        <v/>
      </c>
      <c r="U15" s="35">
        <f>IF($T15&lt;=1E-8,"Satisfied","Violated")</f>
        <v/>
      </c>
      <c r="V15" s="8">
        <f>IF(ABS($T15)&lt;=1E-5,"Yes","No")</f>
        <v/>
      </c>
      <c r="W15" s="8">
        <f>IF($P15&gt;=0,1,-1)</f>
        <v/>
      </c>
      <c r="X15" s="8">
        <f>IF($W15=$D15,"Correct","Wrong")</f>
        <v/>
      </c>
    </row>
    <row r="16"/>
    <row r="17"/>
    <row r="18" ht="22" customHeight="1">
      <c r="A18" s="3" t="inlineStr">
        <is>
          <t>Constraint summary</t>
        </is>
      </c>
    </row>
    <row r="19">
      <c r="A19" s="27" t="inlineStr">
        <is>
          <t>Minimum signed margin</t>
        </is>
      </c>
      <c r="B19" s="28">
        <f>MIN(Q6:Q15)</f>
        <v/>
      </c>
    </row>
    <row r="20">
      <c r="A20" s="27" t="inlineStr">
        <is>
          <t>All ten constraints satisfied?</t>
        </is>
      </c>
      <c r="B20" s="36">
        <f>IF(MIN(Q6:Q15)&gt;=1-1E-8,"YES","NO")</f>
        <v/>
      </c>
    </row>
    <row r="21">
      <c r="A21" s="27" t="inlineStr">
        <is>
          <t>Support-vector count</t>
        </is>
      </c>
      <c r="B21" s="36">
        <f>COUNTIF(V6:V15,"Yes")</f>
        <v/>
      </c>
    </row>
    <row r="22">
      <c r="A22" s="27" t="inlineStr">
        <is>
          <t>Training accuracy (illustrative only)</t>
        </is>
      </c>
      <c r="B22" s="37">
        <f>COUNTIF(X6:X15,"Correct")/ROWS(X6:X15)</f>
        <v/>
      </c>
    </row>
    <row r="23"/>
    <row r="24" ht="32" customHeight="1">
      <c r="A24" s="13" t="inlineStr">
        <is>
          <t>Support vectors have u_i^T theta approximately equal to 1. Correct classification alone needs t_i*s_i &gt; 0; hard margin is stricter and needs t_i*s_i &gt;= 1.</t>
        </is>
      </c>
    </row>
  </sheetData>
  <autoFilter ref="A5:X15"/>
  <mergeCells count="5">
    <mergeCell ref="A3:X3"/>
    <mergeCell ref="A24:X24"/>
    <mergeCell ref="A2:X2"/>
    <mergeCell ref="A18:F18"/>
    <mergeCell ref="A1:X1"/>
  </mergeCells>
  <conditionalFormatting sqref="U6:U15">
    <cfRule type="expression" priority="1" dxfId="0">
      <formula>U6="Violated"</formula>
    </cfRule>
  </conditionalFormatting>
  <conditionalFormatting sqref="S6:S15">
    <cfRule type="expression" priority="2" dxfId="0">
      <formula>S6="ERROR"</formula>
    </cfRule>
  </conditionalFormatting>
  <conditionalFormatting sqref="X6:X15">
    <cfRule type="expression" priority="3" dxfId="0">
      <formula>X6="Wrong"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8" customWidth="1" min="4" max="4"/>
    <col width="14" customWidth="1" min="5" max="5"/>
    <col width="16" customWidth="1" min="6" max="6"/>
    <col width="15" customWidth="1" min="7" max="7"/>
    <col width="13" customWidth="1" min="9" max="9"/>
    <col width="13" customWidth="1" min="10" max="10"/>
    <col width="13" customWidth="1" min="12" max="12"/>
    <col width="13" customWidth="1" min="13" max="13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>Step 6 - Visualize scores, margins, and the decision boundary</t>
        </is>
      </c>
    </row>
    <row r="2">
      <c r="A2" s="22" t="inlineStr">
        <is>
          <t>Raw decision scores use the -1, 0, +1 reference lines. Signed margins place both classes on the positive side and are checked against 1.</t>
        </is>
      </c>
    </row>
    <row r="3"/>
    <row r="4"/>
    <row r="5" ht="38" customHeight="1">
      <c r="A5" s="7" t="inlineStr">
        <is>
          <t>i</t>
        </is>
      </c>
      <c r="B5" s="7" t="inlineStr">
        <is>
          <t>PatientID</t>
        </is>
      </c>
      <c r="C5" s="7" t="inlineStr">
        <is>
          <t>Class</t>
        </is>
      </c>
      <c r="D5" s="7" t="inlineStr">
        <is>
          <t>t_i</t>
        </is>
      </c>
      <c r="E5" s="7" t="inlineStr">
        <is>
          <t>Score s_i</t>
        </is>
      </c>
      <c r="F5" s="7" t="inlineStr">
        <is>
          <t>Signed margin</t>
        </is>
      </c>
      <c r="G5" s="7" t="inlineStr">
        <is>
          <t>Target margin</t>
        </is>
      </c>
      <c r="I5" s="38" t="inlineStr">
        <is>
          <t>UPA score</t>
        </is>
      </c>
      <c r="J5" s="38" t="inlineStr">
        <is>
          <t>Observation i</t>
        </is>
      </c>
      <c r="L5" s="38" t="inlineStr">
        <is>
          <t>BPA score</t>
        </is>
      </c>
      <c r="M5" s="38" t="inlineStr">
        <is>
          <t>Observation i</t>
        </is>
      </c>
      <c r="O5" s="39" t="inlineStr">
        <is>
          <t>Margin -1</t>
        </is>
      </c>
      <c r="P5" s="39" t="inlineStr">
        <is>
          <t>Observation i</t>
        </is>
      </c>
      <c r="Q5" s="39" t="inlineStr">
        <is>
          <t>Boundary 0</t>
        </is>
      </c>
      <c r="R5" s="39" t="inlineStr">
        <is>
          <t>Observation i</t>
        </is>
      </c>
      <c r="S5" s="39" t="inlineStr">
        <is>
          <t>Margin +1</t>
        </is>
      </c>
      <c r="T5" s="39" t="inlineStr">
        <is>
          <t>Observation i</t>
        </is>
      </c>
    </row>
    <row r="6">
      <c r="A6" s="9">
        <f>'U_Margin_Check'!A6</f>
        <v/>
      </c>
      <c r="B6" s="9">
        <f>'U_Margin_Check'!B6</f>
        <v/>
      </c>
      <c r="C6" s="9">
        <f>'U_Margin_Check'!C6</f>
        <v/>
      </c>
      <c r="D6" s="9">
        <f>'U_Margin_Check'!D6</f>
        <v/>
      </c>
      <c r="E6" s="16">
        <f>'U_Margin_Check'!P6</f>
        <v/>
      </c>
      <c r="F6" s="16">
        <f>'U_Margin_Check'!Q6</f>
        <v/>
      </c>
      <c r="G6" s="9" t="n">
        <v>1</v>
      </c>
      <c r="I6" s="39">
        <f>E6</f>
        <v/>
      </c>
      <c r="J6" s="39">
        <f>A6</f>
        <v/>
      </c>
      <c r="L6" s="39">
        <f>E9</f>
        <v/>
      </c>
      <c r="M6" s="39">
        <f>A9</f>
        <v/>
      </c>
      <c r="O6" s="39" t="n">
        <v>-1</v>
      </c>
      <c r="P6" s="39" t="n">
        <v>0.5</v>
      </c>
      <c r="Q6" s="39" t="n">
        <v>0</v>
      </c>
      <c r="R6" s="39" t="n">
        <v>0.5</v>
      </c>
      <c r="S6" s="39" t="n">
        <v>1</v>
      </c>
      <c r="T6" s="39" t="n">
        <v>0.5</v>
      </c>
    </row>
    <row r="7">
      <c r="A7" s="8">
        <f>'U_Margin_Check'!A7</f>
        <v/>
      </c>
      <c r="B7" s="8">
        <f>'U_Margin_Check'!B7</f>
        <v/>
      </c>
      <c r="C7" s="8">
        <f>'U_Margin_Check'!C7</f>
        <v/>
      </c>
      <c r="D7" s="8">
        <f>'U_Margin_Check'!D7</f>
        <v/>
      </c>
      <c r="E7" s="15">
        <f>'U_Margin_Check'!P7</f>
        <v/>
      </c>
      <c r="F7" s="15">
        <f>'U_Margin_Check'!Q7</f>
        <v/>
      </c>
      <c r="G7" s="8" t="n">
        <v>1</v>
      </c>
      <c r="I7" s="39">
        <f>E7</f>
        <v/>
      </c>
      <c r="J7" s="39">
        <f>A7</f>
        <v/>
      </c>
      <c r="L7" s="39">
        <f>E10</f>
        <v/>
      </c>
      <c r="M7" s="39">
        <f>A10</f>
        <v/>
      </c>
      <c r="O7" s="39" t="n">
        <v>-1</v>
      </c>
      <c r="P7" s="39" t="n">
        <v>10.5</v>
      </c>
      <c r="Q7" s="39" t="n">
        <v>0</v>
      </c>
      <c r="R7" s="39" t="n">
        <v>10.5</v>
      </c>
      <c r="S7" s="39" t="n">
        <v>1</v>
      </c>
      <c r="T7" s="39" t="n">
        <v>10.5</v>
      </c>
    </row>
    <row r="8">
      <c r="A8" s="9">
        <f>'U_Margin_Check'!A8</f>
        <v/>
      </c>
      <c r="B8" s="9">
        <f>'U_Margin_Check'!B8</f>
        <v/>
      </c>
      <c r="C8" s="9">
        <f>'U_Margin_Check'!C8</f>
        <v/>
      </c>
      <c r="D8" s="9">
        <f>'U_Margin_Check'!D8</f>
        <v/>
      </c>
      <c r="E8" s="16">
        <f>'U_Margin_Check'!P8</f>
        <v/>
      </c>
      <c r="F8" s="16">
        <f>'U_Margin_Check'!Q8</f>
        <v/>
      </c>
      <c r="G8" s="9" t="n">
        <v>1</v>
      </c>
      <c r="I8" s="39">
        <f>E8</f>
        <v/>
      </c>
      <c r="J8" s="39">
        <f>A8</f>
        <v/>
      </c>
      <c r="L8" s="39">
        <f>E11</f>
        <v/>
      </c>
      <c r="M8" s="39">
        <f>A11</f>
        <v/>
      </c>
    </row>
    <row r="9">
      <c r="A9" s="8">
        <f>'U_Margin_Check'!A9</f>
        <v/>
      </c>
      <c r="B9" s="8">
        <f>'U_Margin_Check'!B9</f>
        <v/>
      </c>
      <c r="C9" s="8">
        <f>'U_Margin_Check'!C9</f>
        <v/>
      </c>
      <c r="D9" s="8">
        <f>'U_Margin_Check'!D9</f>
        <v/>
      </c>
      <c r="E9" s="15">
        <f>'U_Margin_Check'!P9</f>
        <v/>
      </c>
      <c r="F9" s="15">
        <f>'U_Margin_Check'!Q9</f>
        <v/>
      </c>
      <c r="G9" s="8" t="n">
        <v>1</v>
      </c>
      <c r="I9" s="39">
        <f>E14</f>
        <v/>
      </c>
      <c r="J9" s="39">
        <f>A14</f>
        <v/>
      </c>
      <c r="L9" s="39">
        <f>E12</f>
        <v/>
      </c>
      <c r="M9" s="39">
        <f>A12</f>
        <v/>
      </c>
    </row>
    <row r="10">
      <c r="A10" s="9">
        <f>'U_Margin_Check'!A10</f>
        <v/>
      </c>
      <c r="B10" s="9">
        <f>'U_Margin_Check'!B10</f>
        <v/>
      </c>
      <c r="C10" s="9">
        <f>'U_Margin_Check'!C10</f>
        <v/>
      </c>
      <c r="D10" s="9">
        <f>'U_Margin_Check'!D10</f>
        <v/>
      </c>
      <c r="E10" s="16">
        <f>'U_Margin_Check'!P10</f>
        <v/>
      </c>
      <c r="F10" s="16">
        <f>'U_Margin_Check'!Q10</f>
        <v/>
      </c>
      <c r="G10" s="9" t="n">
        <v>1</v>
      </c>
      <c r="I10" s="39">
        <f>E15</f>
        <v/>
      </c>
      <c r="J10" s="39">
        <f>A15</f>
        <v/>
      </c>
      <c r="L10" s="39">
        <f>E13</f>
        <v/>
      </c>
      <c r="M10" s="39">
        <f>A13</f>
        <v/>
      </c>
    </row>
    <row r="11">
      <c r="A11" s="8">
        <f>'U_Margin_Check'!A11</f>
        <v/>
      </c>
      <c r="B11" s="8">
        <f>'U_Margin_Check'!B11</f>
        <v/>
      </c>
      <c r="C11" s="8">
        <f>'U_Margin_Check'!C11</f>
        <v/>
      </c>
      <c r="D11" s="8">
        <f>'U_Margin_Check'!D11</f>
        <v/>
      </c>
      <c r="E11" s="15">
        <f>'U_Margin_Check'!P11</f>
        <v/>
      </c>
      <c r="F11" s="15">
        <f>'U_Margin_Check'!Q11</f>
        <v/>
      </c>
      <c r="G11" s="8" t="n">
        <v>1</v>
      </c>
    </row>
    <row r="12">
      <c r="A12" s="9">
        <f>'U_Margin_Check'!A12</f>
        <v/>
      </c>
      <c r="B12" s="9">
        <f>'U_Margin_Check'!B12</f>
        <v/>
      </c>
      <c r="C12" s="9">
        <f>'U_Margin_Check'!C12</f>
        <v/>
      </c>
      <c r="D12" s="9">
        <f>'U_Margin_Check'!D12</f>
        <v/>
      </c>
      <c r="E12" s="16">
        <f>'U_Margin_Check'!P12</f>
        <v/>
      </c>
      <c r="F12" s="16">
        <f>'U_Margin_Check'!Q12</f>
        <v/>
      </c>
      <c r="G12" s="9" t="n">
        <v>1</v>
      </c>
    </row>
    <row r="13">
      <c r="A13" s="8">
        <f>'U_Margin_Check'!A13</f>
        <v/>
      </c>
      <c r="B13" s="8">
        <f>'U_Margin_Check'!B13</f>
        <v/>
      </c>
      <c r="C13" s="8">
        <f>'U_Margin_Check'!C13</f>
        <v/>
      </c>
      <c r="D13" s="8">
        <f>'U_Margin_Check'!D13</f>
        <v/>
      </c>
      <c r="E13" s="15">
        <f>'U_Margin_Check'!P13</f>
        <v/>
      </c>
      <c r="F13" s="15">
        <f>'U_Margin_Check'!Q13</f>
        <v/>
      </c>
      <c r="G13" s="8" t="n">
        <v>1</v>
      </c>
    </row>
    <row r="14">
      <c r="A14" s="9">
        <f>'U_Margin_Check'!A14</f>
        <v/>
      </c>
      <c r="B14" s="9">
        <f>'U_Margin_Check'!B14</f>
        <v/>
      </c>
      <c r="C14" s="9">
        <f>'U_Margin_Check'!C14</f>
        <v/>
      </c>
      <c r="D14" s="9">
        <f>'U_Margin_Check'!D14</f>
        <v/>
      </c>
      <c r="E14" s="16">
        <f>'U_Margin_Check'!P14</f>
        <v/>
      </c>
      <c r="F14" s="16">
        <f>'U_Margin_Check'!Q14</f>
        <v/>
      </c>
      <c r="G14" s="9" t="n">
        <v>1</v>
      </c>
    </row>
    <row r="15">
      <c r="A15" s="8">
        <f>'U_Margin_Check'!A15</f>
        <v/>
      </c>
      <c r="B15" s="8">
        <f>'U_Margin_Check'!B15</f>
        <v/>
      </c>
      <c r="C15" s="8">
        <f>'U_Margin_Check'!C15</f>
        <v/>
      </c>
      <c r="D15" s="8">
        <f>'U_Margin_Check'!D15</f>
        <v/>
      </c>
      <c r="E15" s="15">
        <f>'U_Margin_Check'!P15</f>
        <v/>
      </c>
      <c r="F15" s="15">
        <f>'U_Margin_Check'!Q15</f>
        <v/>
      </c>
      <c r="G15" s="8" t="n">
        <v>1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 ht="34" customHeight="1">
      <c r="A42" s="40" t="inlineStr">
        <is>
          <t>Interpretation: UPA must lie at score &gt;= +1, BPA must lie at score &lt;= -1, and score 0 is the classifier boundary. Scores are not probabilities.</t>
        </is>
      </c>
    </row>
  </sheetData>
  <mergeCells count="3">
    <mergeCell ref="A2:R2"/>
    <mergeCell ref="A1:R1"/>
    <mergeCell ref="A42:R4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2" customWidth="1" min="4" max="4"/>
    <col width="16" customWidth="1" min="5" max="5"/>
    <col width="15" customWidth="1" min="6" max="6"/>
    <col width="12" customWidth="1" min="7" max="7"/>
  </cols>
  <sheetData>
    <row r="1" ht="28" customHeight="1">
      <c r="A1" s="1" t="inlineStr">
        <is>
          <t>Step 7 - Full-data feasibility gate and ROC decision</t>
        </is>
      </c>
    </row>
    <row r="2"/>
    <row r="3" ht="42" customHeight="1">
      <c r="A3" s="33" t="inlineStr">
        <is>
          <t>The 10-row worksheet is feasible because it omits 104 constraints. Adding the remaining observations makes the full linear hard-margin system infeasible.</t>
        </is>
      </c>
    </row>
    <row r="4"/>
    <row r="5" ht="38" customHeight="1">
      <c r="A5" s="7" t="inlineStr">
        <is>
          <t>Analysis instance</t>
        </is>
      </c>
      <c r="B5" s="7" t="inlineStr">
        <is>
          <t>Training n</t>
        </is>
      </c>
      <c r="C5" s="7" t="inlineStr">
        <is>
          <t>Held-out n</t>
        </is>
      </c>
      <c r="D5" s="7" t="inlineStr">
        <is>
          <t>Hard-margin feasible?</t>
        </is>
      </c>
      <c r="E5" s="7" t="inlineStr">
        <is>
          <t>Model fitted?</t>
        </is>
      </c>
      <c r="F5" s="7" t="inlineStr">
        <is>
          <t>ROC scores?</t>
        </is>
      </c>
      <c r="G5" s="7" t="inlineStr">
        <is>
          <t>AUROC</t>
        </is>
      </c>
    </row>
    <row r="6">
      <c r="A6" s="9" t="inlineStr">
        <is>
          <t>Full cohort</t>
        </is>
      </c>
      <c r="B6" s="9" t="n">
        <v>114</v>
      </c>
      <c r="C6" s="9" t="inlineStr">
        <is>
          <t>-</t>
        </is>
      </c>
      <c r="D6" s="41" t="inlineStr">
        <is>
          <t>No</t>
        </is>
      </c>
      <c r="E6" s="41" t="inlineStr">
        <is>
          <t>No</t>
        </is>
      </c>
      <c r="F6" s="41" t="inlineStr">
        <is>
          <t>No</t>
        </is>
      </c>
      <c r="G6" s="41" t="inlineStr">
        <is>
          <t>N/A</t>
        </is>
      </c>
    </row>
    <row r="7">
      <c r="A7" s="8" t="inlineStr">
        <is>
          <t>CV fold 1</t>
        </is>
      </c>
      <c r="B7" s="8" t="n">
        <v>91</v>
      </c>
      <c r="C7" s="8" t="n">
        <v>23</v>
      </c>
      <c r="D7" s="41" t="inlineStr">
        <is>
          <t>No</t>
        </is>
      </c>
      <c r="E7" s="41" t="inlineStr">
        <is>
          <t>No</t>
        </is>
      </c>
      <c r="F7" s="41" t="inlineStr">
        <is>
          <t>No</t>
        </is>
      </c>
      <c r="G7" s="41" t="inlineStr">
        <is>
          <t>N/A</t>
        </is>
      </c>
    </row>
    <row r="8">
      <c r="A8" s="9" t="inlineStr">
        <is>
          <t>CV fold 2</t>
        </is>
      </c>
      <c r="B8" s="9" t="n">
        <v>91</v>
      </c>
      <c r="C8" s="9" t="n">
        <v>23</v>
      </c>
      <c r="D8" s="41" t="inlineStr">
        <is>
          <t>No</t>
        </is>
      </c>
      <c r="E8" s="41" t="inlineStr">
        <is>
          <t>No</t>
        </is>
      </c>
      <c r="F8" s="41" t="inlineStr">
        <is>
          <t>No</t>
        </is>
      </c>
      <c r="G8" s="41" t="inlineStr">
        <is>
          <t>N/A</t>
        </is>
      </c>
    </row>
    <row r="9">
      <c r="A9" s="8" t="inlineStr">
        <is>
          <t>CV fold 3</t>
        </is>
      </c>
      <c r="B9" s="8" t="n">
        <v>91</v>
      </c>
      <c r="C9" s="8" t="n">
        <v>23</v>
      </c>
      <c r="D9" s="41" t="inlineStr">
        <is>
          <t>No</t>
        </is>
      </c>
      <c r="E9" s="41" t="inlineStr">
        <is>
          <t>No</t>
        </is>
      </c>
      <c r="F9" s="41" t="inlineStr">
        <is>
          <t>No</t>
        </is>
      </c>
      <c r="G9" s="41" t="inlineStr">
        <is>
          <t>N/A</t>
        </is>
      </c>
    </row>
    <row r="10">
      <c r="A10" s="9" t="inlineStr">
        <is>
          <t>CV fold 4</t>
        </is>
      </c>
      <c r="B10" s="9" t="n">
        <v>91</v>
      </c>
      <c r="C10" s="9" t="n">
        <v>23</v>
      </c>
      <c r="D10" s="41" t="inlineStr">
        <is>
          <t>No</t>
        </is>
      </c>
      <c r="E10" s="41" t="inlineStr">
        <is>
          <t>No</t>
        </is>
      </c>
      <c r="F10" s="41" t="inlineStr">
        <is>
          <t>No</t>
        </is>
      </c>
      <c r="G10" s="41" t="inlineStr">
        <is>
          <t>N/A</t>
        </is>
      </c>
    </row>
    <row r="11">
      <c r="A11" s="8" t="inlineStr">
        <is>
          <t>CV fold 5</t>
        </is>
      </c>
      <c r="B11" s="8" t="n">
        <v>92</v>
      </c>
      <c r="C11" s="8" t="n">
        <v>22</v>
      </c>
      <c r="D11" s="41" t="inlineStr">
        <is>
          <t>No</t>
        </is>
      </c>
      <c r="E11" s="41" t="inlineStr">
        <is>
          <t>No</t>
        </is>
      </c>
      <c r="F11" s="41" t="inlineStr">
        <is>
          <t>No</t>
        </is>
      </c>
      <c r="G11" s="41" t="inlineStr">
        <is>
          <t>N/A</t>
        </is>
      </c>
    </row>
    <row r="12"/>
    <row r="13"/>
    <row r="14" ht="22" customHeight="1">
      <c r="A14" s="3" t="inlineStr">
        <is>
          <t>ROC rule</t>
        </is>
      </c>
    </row>
    <row r="15">
      <c r="A15" s="42" t="inlineStr">
        <is>
          <t>A ROC curve needs a valid fitted scoring function for every held-out observation. Because each training fold is infeasible, there are no valid out-of-fold scores. Therefore ROC, AUROC, sensitivity, and specificity are not applicable for the requested full-data linear hard-margin model. The 10-row in-sample separation is not a performance estimate.</t>
        </is>
      </c>
    </row>
    <row r="16"/>
  </sheetData>
  <mergeCells count="4">
    <mergeCell ref="A15:G16"/>
    <mergeCell ref="A3:G3"/>
    <mergeCell ref="A14:G1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2026-08-14T18:25:25Z</dcterms:created>
  <dcterms:modified xmlns:dcterms="http://purl.org/dc/terms/" xmlns:xsi="http://www.w3.org/2001/XMLSchema-instance" xsi:type="dcterms:W3CDTF">2026-08-14T18:25:25Z</dcterms:modified>
</cp:coreProperties>
</file>